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https://publicconsultinggroup-my.sharepoint.com/personal/jacurtis_pcgus_com/Documents/Documents/"/>
    </mc:Choice>
  </mc:AlternateContent>
  <xr:revisionPtr revIDLastSave="710" documentId="8_{FA1BE3DA-D4F6-4D8A-9DAD-F5F2CCC7F437}" xr6:coauthVersionLast="47" xr6:coauthVersionMax="47" xr10:uidLastSave="{A42B6BC5-3A0A-4E98-BF21-AC15062A9976}"/>
  <bookViews>
    <workbookView xWindow="-108" yWindow="-108" windowWidth="23256" windowHeight="13896" firstSheet="2" activeTab="7" xr2:uid="{00000000-000D-0000-FFFF-FFFF00000000}"/>
  </bookViews>
  <sheets>
    <sheet name="Purpose &amp; Methodology" sheetId="1" r:id="rId1"/>
    <sheet name="Master Scorecard" sheetId="2" r:id="rId2"/>
    <sheet name="CSI" sheetId="6" r:id="rId3"/>
    <sheet name="TSI" sheetId="7" r:id="rId4"/>
    <sheet name="Basic District Info" sheetId="3" r:id="rId5"/>
    <sheet name="District Contacts" sheetId="8" r:id="rId6"/>
    <sheet name="Strategic Indicators" sheetId="5" r:id="rId7"/>
    <sheet name="Leadership and Governance" sheetId="4" r:id="rId8"/>
  </sheets>
  <definedNames>
    <definedName name="_xlnm._FilterDatabase" localSheetId="2" hidden="1">CSI!$A$1:$Q$1</definedName>
    <definedName name="_xlnm._FilterDatabase" localSheetId="5" hidden="1">'District Contacts'!$A$1:$G$203</definedName>
    <definedName name="_xlnm._FilterDatabase" localSheetId="3" hidden="1">TSI!$A$1:$I$1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O6" i="2" s="1"/>
  <c r="P6" i="2" s="1"/>
  <c r="J16" i="2"/>
  <c r="O16" i="2" s="1"/>
  <c r="P16" i="2" s="1"/>
  <c r="J17" i="2"/>
  <c r="O17" i="2" s="1"/>
  <c r="P17" i="2" s="1"/>
  <c r="J19" i="2"/>
  <c r="O19" i="2" s="1"/>
  <c r="P19" i="2" s="1"/>
  <c r="J20" i="2"/>
  <c r="O20" i="2" s="1"/>
  <c r="P20" i="2" s="1"/>
  <c r="J21" i="2"/>
  <c r="O21" i="2" s="1"/>
  <c r="P21" i="2" s="1"/>
  <c r="J22" i="2"/>
  <c r="O22" i="2" s="1"/>
  <c r="P22" i="2" s="1"/>
  <c r="J28" i="2"/>
  <c r="O28" i="2" s="1"/>
  <c r="P28" i="2" s="1"/>
  <c r="J27" i="2"/>
  <c r="O27" i="2" s="1"/>
  <c r="P27" i="2" s="1"/>
  <c r="J26" i="2"/>
  <c r="O26" i="2" s="1"/>
  <c r="P26" i="2" s="1"/>
  <c r="J25" i="2"/>
  <c r="O25" i="2" s="1"/>
  <c r="P25" i="2" s="1"/>
  <c r="J24" i="2"/>
  <c r="O24" i="2" s="1"/>
  <c r="P24" i="2" s="1"/>
  <c r="J15" i="2"/>
  <c r="O15" i="2" s="1"/>
  <c r="P15" i="2" s="1"/>
  <c r="J14" i="2"/>
  <c r="O14" i="2" s="1"/>
  <c r="P14" i="2" s="1"/>
  <c r="J13" i="2"/>
  <c r="O13" i="2" s="1"/>
  <c r="P13" i="2" s="1"/>
  <c r="J12" i="2"/>
  <c r="O12" i="2" s="1"/>
  <c r="P12" i="2" s="1"/>
  <c r="J11" i="2"/>
  <c r="O11" i="2" s="1"/>
  <c r="P11" i="2" s="1"/>
  <c r="J10" i="2"/>
  <c r="O10" i="2" s="1"/>
  <c r="P10" i="2" s="1"/>
  <c r="J9" i="2"/>
  <c r="O9" i="2" s="1"/>
  <c r="P9" i="2" s="1"/>
  <c r="J3" i="2"/>
  <c r="O3" i="2" s="1"/>
  <c r="P3" i="2" s="1"/>
  <c r="J2" i="2"/>
  <c r="O2" i="2" s="1"/>
  <c r="P2" i="2" s="1"/>
  <c r="J23" i="2"/>
  <c r="O23" i="2" s="1"/>
  <c r="P23" i="2" s="1"/>
  <c r="N3" i="3"/>
  <c r="N4" i="3"/>
  <c r="N5" i="3"/>
  <c r="N6" i="3"/>
  <c r="N7" i="3"/>
  <c r="N8" i="3"/>
  <c r="N9" i="3"/>
  <c r="N10" i="3"/>
  <c r="N11" i="3"/>
  <c r="N12" i="3"/>
  <c r="N13" i="3"/>
  <c r="N14" i="3"/>
  <c r="N15" i="3"/>
  <c r="N16" i="3"/>
  <c r="N17" i="3"/>
  <c r="N18" i="3"/>
  <c r="N19" i="3"/>
  <c r="N20" i="3"/>
  <c r="N21" i="3"/>
  <c r="N22" i="3"/>
  <c r="N23" i="3"/>
  <c r="N24" i="3"/>
  <c r="N25" i="3"/>
  <c r="N26" i="3"/>
  <c r="N27" i="3"/>
  <c r="N28" i="3"/>
  <c r="N2" i="3"/>
  <c r="M3" i="3"/>
  <c r="M4" i="3"/>
  <c r="M5" i="3"/>
  <c r="M6" i="3"/>
  <c r="M7" i="3"/>
  <c r="M8" i="3"/>
  <c r="M9" i="3"/>
  <c r="M10" i="3"/>
  <c r="M11" i="3"/>
  <c r="M12" i="3"/>
  <c r="M13" i="3"/>
  <c r="M14" i="3"/>
  <c r="M15" i="3"/>
  <c r="M16" i="3"/>
  <c r="M17" i="3"/>
  <c r="M18" i="3"/>
  <c r="M19" i="3"/>
  <c r="M20" i="3"/>
  <c r="M21" i="3"/>
  <c r="M22" i="3"/>
  <c r="M23" i="3"/>
  <c r="M24" i="3"/>
  <c r="M25" i="3"/>
  <c r="M26" i="3"/>
  <c r="M27" i="3"/>
  <c r="M28" i="3"/>
  <c r="M2" i="3"/>
  <c r="N3" i="2"/>
  <c r="N4" i="2"/>
  <c r="N5" i="2"/>
  <c r="N6" i="2"/>
  <c r="N7" i="2"/>
  <c r="N8" i="2"/>
  <c r="N9" i="2"/>
  <c r="N10" i="2"/>
  <c r="N11" i="2"/>
  <c r="N12" i="2"/>
  <c r="N13" i="2"/>
  <c r="N14" i="2"/>
  <c r="N15" i="2"/>
  <c r="N16" i="2"/>
  <c r="N17" i="2"/>
  <c r="N18" i="2"/>
  <c r="N19" i="2"/>
  <c r="N20" i="2"/>
  <c r="N21" i="2"/>
  <c r="N22" i="2"/>
  <c r="N23" i="2"/>
  <c r="N24" i="2"/>
  <c r="N25" i="2"/>
  <c r="N26" i="2"/>
  <c r="N27" i="2"/>
  <c r="N28" i="2"/>
  <c r="N2" i="2"/>
  <c r="L2" i="2"/>
  <c r="L3" i="2"/>
  <c r="L4" i="2"/>
  <c r="L5" i="2"/>
  <c r="L6" i="2"/>
  <c r="L7" i="2"/>
  <c r="L8" i="2"/>
  <c r="L9" i="2"/>
  <c r="L10" i="2"/>
  <c r="L11" i="2"/>
  <c r="L12" i="2"/>
  <c r="L13" i="2"/>
  <c r="L14" i="2"/>
  <c r="L15" i="2"/>
  <c r="L16" i="2"/>
  <c r="L17" i="2"/>
  <c r="L18" i="2"/>
  <c r="L19" i="2"/>
  <c r="L20" i="2"/>
  <c r="L21" i="2"/>
  <c r="L22" i="2"/>
  <c r="L23" i="2"/>
  <c r="L24" i="2"/>
  <c r="L25" i="2"/>
  <c r="L26" i="2"/>
  <c r="L27" i="2"/>
  <c r="L28" i="2"/>
  <c r="J4" i="2"/>
  <c r="O4" i="2" s="1"/>
  <c r="P4" i="2" s="1"/>
  <c r="J5" i="2"/>
  <c r="O5" i="2" s="1"/>
  <c r="P5" i="2" s="1"/>
  <c r="J7" i="2"/>
  <c r="O7" i="2" s="1"/>
  <c r="P7" i="2" s="1"/>
  <c r="J8" i="2"/>
  <c r="O8" i="2" s="1"/>
  <c r="P8" i="2" s="1"/>
  <c r="J18" i="2"/>
  <c r="O18" i="2" s="1"/>
  <c r="P18" i="2" s="1"/>
  <c r="C3" i="2"/>
  <c r="C4" i="2"/>
  <c r="C5" i="2"/>
  <c r="C6" i="2"/>
  <c r="C7" i="2"/>
  <c r="C8" i="2"/>
  <c r="C9" i="2"/>
  <c r="C10" i="2"/>
  <c r="C11" i="2"/>
  <c r="C12" i="2"/>
  <c r="C13" i="2"/>
  <c r="C14" i="2"/>
  <c r="C15" i="2"/>
  <c r="C16" i="2"/>
  <c r="C17" i="2"/>
  <c r="C18" i="2"/>
  <c r="C19" i="2"/>
  <c r="C20" i="2"/>
  <c r="C21" i="2"/>
  <c r="C22" i="2"/>
  <c r="C23" i="2"/>
  <c r="C24" i="2"/>
  <c r="C25" i="2"/>
  <c r="C26" i="2"/>
  <c r="C27" i="2"/>
  <c r="C28" i="2"/>
  <c r="C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tc={5DD7F94F-AD70-4B13-842B-6BEC73C3940C}</author>
    <author>tc={06F53F8C-9360-499E-AF17-9614AF2CA7B3}</author>
  </authors>
  <commentList>
    <comment ref="I1" authorId="0" shapeId="0" xr:uid="{5DD7F94F-AD70-4B13-842B-6BEC73C3940C}">
      <text>
        <t>[Threaded comment]
Your version of Excel allows you to read this threaded comment; however, any edits to it will get removed if the file is opened in a newer version of Excel. Learn more: https://go.microsoft.com/fwlink/?linkid=870924
Comment:
    Columns F-I: Texas Tribune data 2026</t>
      </text>
    </comment>
    <comment ref="J1" authorId="1" shapeId="0" xr:uid="{06F53F8C-9360-499E-AF17-9614AF2CA7B3}">
      <text>
        <t>[Threaded comment]
Your version of Excel allows you to read this threaded comment; however, any edits to it will get removed if the file is opened in a newer version of Excel. Learn more: https://go.microsoft.com/fwlink/?linkid=870924
Comment:
    NCES</t>
      </text>
    </comment>
  </commentList>
</comments>
</file>

<file path=xl/sharedStrings.xml><?xml version="1.0" encoding="utf-8"?>
<sst xmlns="http://schemas.openxmlformats.org/spreadsheetml/2006/main" count="5895" uniqueCount="2031">
  <si>
    <t>Purpose</t>
  </si>
  <si>
    <t>Category</t>
  </si>
  <si>
    <t>Weight</t>
  </si>
  <si>
    <t>Strategic</t>
  </si>
  <si>
    <t>The goal of this was to update state profiles for 24 districts in Texas to find common threads where they existed, e.g., strategic priorities in the district that could signal an opportunity for PCG/Emerald Ed.</t>
  </si>
  <si>
    <t>Relationships</t>
  </si>
  <si>
    <t>After collecting data from various sources such as Burbio, Copilot, Google News, Legiscan, etc. and arranging in categories (Funding, Strategic Priorities, etc.) the Business Development team would then independtly assign scores to each district in each category.</t>
  </si>
  <si>
    <t>Contracts</t>
  </si>
  <si>
    <t>Categories would be weighted to reflect impact and relevance.</t>
  </si>
  <si>
    <t xml:space="preserve">A final average of all team members scores would be taken, giving a final score to each district. </t>
  </si>
  <si>
    <t>Tier 1: Scores ranging from 4.3 - 5.0 signaling high-alignment or strong strategic opportunity.</t>
  </si>
  <si>
    <t>Tier 2: Scores ranging from 3.6 - 4.29 signlaing moderate alignment, an opportunity requiring nurturing.</t>
  </si>
  <si>
    <t>Tier 3: Scores below 3.59 signaling low priority or limited-fit opportunities.</t>
  </si>
  <si>
    <t xml:space="preserve">Lastly, a Master Overview sheet will be prepared for quickly sharing the important highlights and actionable details. </t>
  </si>
  <si>
    <t>District Size</t>
  </si>
  <si>
    <t>Career Fit</t>
  </si>
  <si>
    <t>Math Fit</t>
  </si>
  <si>
    <t>SPED/ELL</t>
  </si>
  <si>
    <t>Intervention</t>
  </si>
  <si>
    <t>CSI/TSI</t>
  </si>
  <si>
    <t>Teacher</t>
  </si>
  <si>
    <t>District Name</t>
  </si>
  <si>
    <t>Enrollment</t>
  </si>
  <si>
    <t>District Size Score (20%)</t>
  </si>
  <si>
    <t>Career Fit Score (20%)</t>
  </si>
  <si>
    <t>Math Fit Score (15%)</t>
  </si>
  <si>
    <t>SPED/ELL Score (15%)</t>
  </si>
  <si>
    <t>Intervention Fit Score (10%)</t>
  </si>
  <si>
    <t>CSI/TSI Score (10%)</t>
  </si>
  <si>
    <t>Teacher Score (10%)</t>
  </si>
  <si>
    <t>Strategic Weighted Score</t>
  </si>
  <si>
    <t>Existing Contracts in Region (Yes/No)</t>
  </si>
  <si>
    <t>Existing Contracts Score</t>
  </si>
  <si>
    <t>Existing Relationships</t>
  </si>
  <si>
    <t>Relationship Score (Auto)</t>
  </si>
  <si>
    <t>Overall Weighted Score (Strategic+Contract+Relationship)</t>
  </si>
  <si>
    <t>Tier</t>
  </si>
  <si>
    <t>Aldine ISD</t>
  </si>
  <si>
    <t>No</t>
  </si>
  <si>
    <t>Yes</t>
  </si>
  <si>
    <t>Arlington ISD</t>
  </si>
  <si>
    <t>Austin ISD</t>
  </si>
  <si>
    <t>Brownsville ISD</t>
  </si>
  <si>
    <t>Conroe ISD</t>
  </si>
  <si>
    <t>Cypress-Fairbanks ISD</t>
  </si>
  <si>
    <t>Dallas ISD</t>
  </si>
  <si>
    <t>Denton ISD</t>
  </si>
  <si>
    <t>El Paso ISD</t>
  </si>
  <si>
    <t>Fort Bend ISD</t>
  </si>
  <si>
    <t>Fort Worth ISD</t>
  </si>
  <si>
    <t>Frisco ISD</t>
  </si>
  <si>
    <t>Garland ISD</t>
  </si>
  <si>
    <t>Houston ISD</t>
  </si>
  <si>
    <t>IDEA Public Schools</t>
  </si>
  <si>
    <t>Irving ISD</t>
  </si>
  <si>
    <t>Katy ISD</t>
  </si>
  <si>
    <t>Klein ISD</t>
  </si>
  <si>
    <t>Lamar Consolidated ISD</t>
  </si>
  <si>
    <t>Laredo ISD</t>
  </si>
  <si>
    <t>McAllen ISd</t>
  </si>
  <si>
    <t>North East ISD</t>
  </si>
  <si>
    <t>Northside ISD</t>
  </si>
  <si>
    <t>Pasadena ISD</t>
  </si>
  <si>
    <t>Plano ISD</t>
  </si>
  <si>
    <t>San Antonio ISD</t>
  </si>
  <si>
    <t>Socorro ISD</t>
  </si>
  <si>
    <t>Region</t>
  </si>
  <si>
    <t>District Number</t>
  </si>
  <si>
    <t>Campus Number</t>
  </si>
  <si>
    <t>Campus Name</t>
  </si>
  <si>
    <t>Support Label</t>
  </si>
  <si>
    <t>Identification Reason</t>
  </si>
  <si>
    <t>Track Year</t>
  </si>
  <si>
    <t>Title I Status</t>
  </si>
  <si>
    <t>CSI 2018</t>
  </si>
  <si>
    <t>CSI 2019</t>
  </si>
  <si>
    <t>CSI 2021</t>
  </si>
  <si>
    <t>CSI 2022</t>
  </si>
  <si>
    <t>CSI 2023</t>
  </si>
  <si>
    <t>CSI 2024</t>
  </si>
  <si>
    <t>CSI 2025</t>
  </si>
  <si>
    <t>Fail to Exit Yr</t>
  </si>
  <si>
    <t>REGION 04: HOUSTON</t>
  </si>
  <si>
    <t>101902</t>
  </si>
  <si>
    <t>ALDINE ISD</t>
  </si>
  <si>
    <t>101902012</t>
  </si>
  <si>
    <t>DAVIS H S ALDINE</t>
  </si>
  <si>
    <t>Comprehensive Progress</t>
  </si>
  <si>
    <t>CSI Low Performance</t>
  </si>
  <si>
    <t>Title I</t>
  </si>
  <si>
    <t/>
  </si>
  <si>
    <t>I</t>
  </si>
  <si>
    <t>REI</t>
  </si>
  <si>
    <t>PR</t>
  </si>
  <si>
    <t>101902013</t>
  </si>
  <si>
    <t>HALL SUCCESS ACADEMY</t>
  </si>
  <si>
    <t>Comprehensive Reidentified</t>
  </si>
  <si>
    <t>CSI Low Graduation Rate</t>
  </si>
  <si>
    <t>101902051</t>
  </si>
  <si>
    <t>PLUMMER MIDDLE</t>
  </si>
  <si>
    <t>101902052</t>
  </si>
  <si>
    <t>LEWIS MIDDLE</t>
  </si>
  <si>
    <t>101902105</t>
  </si>
  <si>
    <t>FRANCIS EL</t>
  </si>
  <si>
    <t>101902129</t>
  </si>
  <si>
    <t>HARRIS EL</t>
  </si>
  <si>
    <t>101902136</t>
  </si>
  <si>
    <t>CYPRESSWOOD EL</t>
  </si>
  <si>
    <t>101902139</t>
  </si>
  <si>
    <t>STEHLIK EL</t>
  </si>
  <si>
    <t>Comprehensive Identified</t>
  </si>
  <si>
    <t>101902141</t>
  </si>
  <si>
    <t>CARAWAY EL</t>
  </si>
  <si>
    <t>101902146</t>
  </si>
  <si>
    <t>OGDEN EL</t>
  </si>
  <si>
    <t>REGION 11: FORT WORTH</t>
  </si>
  <si>
    <t>220901</t>
  </si>
  <si>
    <t>ARLINGTON ISD</t>
  </si>
  <si>
    <t>220901002</t>
  </si>
  <si>
    <t>SAM HOUSTON H S</t>
  </si>
  <si>
    <t>220901050</t>
  </si>
  <si>
    <t>WORKMAN J H</t>
  </si>
  <si>
    <t>220901102</t>
  </si>
  <si>
    <t>BLANTON EL</t>
  </si>
  <si>
    <t>220901112</t>
  </si>
  <si>
    <t>SPEER EL</t>
  </si>
  <si>
    <t>220901123</t>
  </si>
  <si>
    <t>SHORT EL</t>
  </si>
  <si>
    <t>220901126</t>
  </si>
  <si>
    <t>FOSTER EL</t>
  </si>
  <si>
    <t>220901142</t>
  </si>
  <si>
    <t>ELLIS EL</t>
  </si>
  <si>
    <t>220901150</t>
  </si>
  <si>
    <t>CROUCH EL</t>
  </si>
  <si>
    <t>REGION 13: AUSTIN</t>
  </si>
  <si>
    <t>227901</t>
  </si>
  <si>
    <t>AUSTIN ISD</t>
  </si>
  <si>
    <t>227901019</t>
  </si>
  <si>
    <t>EASTSIDE EARLY COLLEGE H S</t>
  </si>
  <si>
    <t>227901026</t>
  </si>
  <si>
    <t>GRADUATION PREP ACADEMY NAVARRO</t>
  </si>
  <si>
    <t>227901046</t>
  </si>
  <si>
    <t>BURNET MIDDLE</t>
  </si>
  <si>
    <t>227901051</t>
  </si>
  <si>
    <t>MARTIN MIDDLE</t>
  </si>
  <si>
    <t>227901055</t>
  </si>
  <si>
    <t>DOBIE MIDDLE</t>
  </si>
  <si>
    <t>227901063</t>
  </si>
  <si>
    <t>GENERAL MARSHALL MIDDLE</t>
  </si>
  <si>
    <t>227901102</t>
  </si>
  <si>
    <t>ANDREWS EL</t>
  </si>
  <si>
    <t>227901109</t>
  </si>
  <si>
    <t>BROWN EL</t>
  </si>
  <si>
    <t>227901116</t>
  </si>
  <si>
    <t>GOVALLE EL</t>
  </si>
  <si>
    <t>227901118</t>
  </si>
  <si>
    <t>227901126</t>
  </si>
  <si>
    <t>ORTEGA EL</t>
  </si>
  <si>
    <t>227901127</t>
  </si>
  <si>
    <t>SANCHEZ EL</t>
  </si>
  <si>
    <t>227901129</t>
  </si>
  <si>
    <t>PECAN SPRINGS EL</t>
  </si>
  <si>
    <t>227901144</t>
  </si>
  <si>
    <t>WOOTEN EL</t>
  </si>
  <si>
    <t>227901149</t>
  </si>
  <si>
    <t>BARRINGTON EL</t>
  </si>
  <si>
    <t>227901157</t>
  </si>
  <si>
    <t>WINN MONTESSORI</t>
  </si>
  <si>
    <t>227901160</t>
  </si>
  <si>
    <t>LINDER EL</t>
  </si>
  <si>
    <t>227901161</t>
  </si>
  <si>
    <t>COOK EL</t>
  </si>
  <si>
    <t>227901162</t>
  </si>
  <si>
    <t>HOUSTON EL</t>
  </si>
  <si>
    <t>227901163</t>
  </si>
  <si>
    <t>HART EL</t>
  </si>
  <si>
    <t>227901164</t>
  </si>
  <si>
    <t>PICKLE EL</t>
  </si>
  <si>
    <t>227901176</t>
  </si>
  <si>
    <t>GALINDO EL</t>
  </si>
  <si>
    <t>227901178</t>
  </si>
  <si>
    <t>JORDAN EL</t>
  </si>
  <si>
    <t>227901189</t>
  </si>
  <si>
    <t>OVERTON EL</t>
  </si>
  <si>
    <t>227901190</t>
  </si>
  <si>
    <t>PEREZ EL</t>
  </si>
  <si>
    <t>227901251</t>
  </si>
  <si>
    <t>ROSEDALE</t>
  </si>
  <si>
    <t>REGION 06: HUNTSVILLE</t>
  </si>
  <si>
    <t>170902</t>
  </si>
  <si>
    <t>CONROE ISD</t>
  </si>
  <si>
    <t>170902068</t>
  </si>
  <si>
    <t>GRANGERLAND INT</t>
  </si>
  <si>
    <t>REGION 10: RICHARDSON</t>
  </si>
  <si>
    <t>057905</t>
  </si>
  <si>
    <t>DALLAS ISD</t>
  </si>
  <si>
    <t>057905007</t>
  </si>
  <si>
    <t>THOMAS JEFFERSON H S</t>
  </si>
  <si>
    <t>057905054</t>
  </si>
  <si>
    <t>THOMAS C MARSH MIDDLE</t>
  </si>
  <si>
    <t>057905062</t>
  </si>
  <si>
    <t>BILLY EARL DADE MIDDLE</t>
  </si>
  <si>
    <t>057905101</t>
  </si>
  <si>
    <t>JOHN Q ADAMS EL</t>
  </si>
  <si>
    <t>057905107</t>
  </si>
  <si>
    <t>JOSE 'JOE' MAY EL</t>
  </si>
  <si>
    <t>057905109</t>
  </si>
  <si>
    <t>W A BLAIR EL</t>
  </si>
  <si>
    <t>057905115</t>
  </si>
  <si>
    <t>HARRELL BUDD EL</t>
  </si>
  <si>
    <t>057905158</t>
  </si>
  <si>
    <t>LIDA HOOE EL</t>
  </si>
  <si>
    <t>057905167</t>
  </si>
  <si>
    <t>KLEBERG EL</t>
  </si>
  <si>
    <t>057905174</t>
  </si>
  <si>
    <t>GENEVA HEIGHTS EL</t>
  </si>
  <si>
    <t>057905175</t>
  </si>
  <si>
    <t>UMPHREY LEE EL</t>
  </si>
  <si>
    <t>057905178</t>
  </si>
  <si>
    <t>H I HOLLAND EL AT LISBON</t>
  </si>
  <si>
    <t>057905219</t>
  </si>
  <si>
    <t>ADELLE TURNER EL</t>
  </si>
  <si>
    <t>057905237</t>
  </si>
  <si>
    <t>JOHN W RUNYON EL</t>
  </si>
  <si>
    <t>057905264</t>
  </si>
  <si>
    <t>RONALD E MCNAIR EL</t>
  </si>
  <si>
    <t>057905271</t>
  </si>
  <si>
    <t>JULIAN T SALDIVAR EL</t>
  </si>
  <si>
    <t>057905276</t>
  </si>
  <si>
    <t>GILBERT CUELLAR SR EL</t>
  </si>
  <si>
    <t>057905286</t>
  </si>
  <si>
    <t>LEE A MCSHAN JR EL</t>
  </si>
  <si>
    <t>057905305</t>
  </si>
  <si>
    <t>EBBY HALLIDAY EL</t>
  </si>
  <si>
    <t>061901</t>
  </si>
  <si>
    <t>DENTON ISD</t>
  </si>
  <si>
    <t>061901108</t>
  </si>
  <si>
    <t>RIVERA EL</t>
  </si>
  <si>
    <t>REGION 19: EL PASO</t>
  </si>
  <si>
    <t>071902</t>
  </si>
  <si>
    <t>EL PASO ISD</t>
  </si>
  <si>
    <t>071902020</t>
  </si>
  <si>
    <t>COLLEGE CAREER TECHNOLOGY ACADEMY (CCTA)</t>
  </si>
  <si>
    <t>071902044</t>
  </si>
  <si>
    <t>GUILLEN MIDDLE</t>
  </si>
  <si>
    <t>071902059</t>
  </si>
  <si>
    <t>BOBBY JOE HILL PK-8</t>
  </si>
  <si>
    <t>071902111</t>
  </si>
  <si>
    <t>COOLEY EL</t>
  </si>
  <si>
    <t>071902118</t>
  </si>
  <si>
    <t>071902143</t>
  </si>
  <si>
    <t>TRAVIS EL</t>
  </si>
  <si>
    <t>071902170</t>
  </si>
  <si>
    <t>DR JOSEFINA VILLAMIL TINAJERO PK-8</t>
  </si>
  <si>
    <t>071902172</t>
  </si>
  <si>
    <t>CHARLES Q MURPHREE PK-8</t>
  </si>
  <si>
    <t>079907</t>
  </si>
  <si>
    <t>FORT BEND ISD</t>
  </si>
  <si>
    <t>079907002</t>
  </si>
  <si>
    <t>WILLOWRIDGE H S</t>
  </si>
  <si>
    <t>079907163</t>
  </si>
  <si>
    <t>BLUE RIDGE BRIARGATE EL</t>
  </si>
  <si>
    <t>220905</t>
  </si>
  <si>
    <t>FORT WORTH ISD</t>
  </si>
  <si>
    <t>220905003</t>
  </si>
  <si>
    <t>SOUTH HILLS H S</t>
  </si>
  <si>
    <t>220905005</t>
  </si>
  <si>
    <t>DUNBAR H S</t>
  </si>
  <si>
    <t>220905021</t>
  </si>
  <si>
    <t>SUCCESS H S</t>
  </si>
  <si>
    <t>220905048</t>
  </si>
  <si>
    <t>WILLIAM JAMES MIDDLE</t>
  </si>
  <si>
    <t>220905061</t>
  </si>
  <si>
    <t>LEONARD MIDDLE</t>
  </si>
  <si>
    <t>220905104</t>
  </si>
  <si>
    <t>BOULEVARD HEIGHTS</t>
  </si>
  <si>
    <t>220905105</t>
  </si>
  <si>
    <t>WEST HANDLEY EL</t>
  </si>
  <si>
    <t>220905120</t>
  </si>
  <si>
    <t>RUFINO MENDOZA SR EL</t>
  </si>
  <si>
    <t>220905122</t>
  </si>
  <si>
    <t>DIAMOND HILL EL</t>
  </si>
  <si>
    <t>220905137</t>
  </si>
  <si>
    <t>HUBBARD EL</t>
  </si>
  <si>
    <t>220905154</t>
  </si>
  <si>
    <t>M L PHILLIPS EL</t>
  </si>
  <si>
    <t>220905161</t>
  </si>
  <si>
    <t>SAM ROSEN EL</t>
  </si>
  <si>
    <t>220905172</t>
  </si>
  <si>
    <t>W J TURNER EL</t>
  </si>
  <si>
    <t>057909</t>
  </si>
  <si>
    <t>GARLAND ISD</t>
  </si>
  <si>
    <t>057909112</t>
  </si>
  <si>
    <t>MD WILLIAMS EL</t>
  </si>
  <si>
    <t>101912</t>
  </si>
  <si>
    <t>HOUSTON ISD</t>
  </si>
  <si>
    <t>101912023</t>
  </si>
  <si>
    <t>SHARPSTOWN H S</t>
  </si>
  <si>
    <t>101912100</t>
  </si>
  <si>
    <t>TEXAS CONNECTIONS ACADEMY AT HOUSTON</t>
  </si>
  <si>
    <t>101912106</t>
  </si>
  <si>
    <t>ATHERTON EL</t>
  </si>
  <si>
    <t>101912225</t>
  </si>
  <si>
    <t>REYNOLDS EL</t>
  </si>
  <si>
    <t>101912324</t>
  </si>
  <si>
    <t>LIBERTY H S</t>
  </si>
  <si>
    <t>101912484</t>
  </si>
  <si>
    <t>MIDDLE COLLEGE H S AT HCC GULFTON</t>
  </si>
  <si>
    <t>REGION 01: EDINBURG</t>
  </si>
  <si>
    <t>108807</t>
  </si>
  <si>
    <t>IDEA PUBLIC SCHOOLS</t>
  </si>
  <si>
    <t>108807024</t>
  </si>
  <si>
    <t>IDEA EASTSIDE COLLEGE PREPARATORY</t>
  </si>
  <si>
    <t>108807094</t>
  </si>
  <si>
    <t>IDEA SPEARS COLLEGE PREPARATORY</t>
  </si>
  <si>
    <t>108807127</t>
  </si>
  <si>
    <t>IDEA NAJIM ACADEMY</t>
  </si>
  <si>
    <t>108807187</t>
  </si>
  <si>
    <t>IDEA ACHIEVE ACADEMY</t>
  </si>
  <si>
    <t>108807193</t>
  </si>
  <si>
    <t>IDEA HARDY ACADEMY</t>
  </si>
  <si>
    <t>108807303</t>
  </si>
  <si>
    <t>IDEA LA JOYA ACADEMY</t>
  </si>
  <si>
    <t>057912</t>
  </si>
  <si>
    <t>IRVING ISD</t>
  </si>
  <si>
    <t>057912041</t>
  </si>
  <si>
    <t>BOWIE MIDDLE</t>
  </si>
  <si>
    <t>057912101</t>
  </si>
  <si>
    <t>BARTON EL</t>
  </si>
  <si>
    <t>057912111</t>
  </si>
  <si>
    <t>LEE EL</t>
  </si>
  <si>
    <t>057912112</t>
  </si>
  <si>
    <t>LIVELY EL</t>
  </si>
  <si>
    <t>057912114</t>
  </si>
  <si>
    <t>SCHULZE EL</t>
  </si>
  <si>
    <t>057912122</t>
  </si>
  <si>
    <t>GILBERT F M EL</t>
  </si>
  <si>
    <t>REGION 20: SAN ANTONIO</t>
  </si>
  <si>
    <t>015910</t>
  </si>
  <si>
    <t>NORTH EAST ISD</t>
  </si>
  <si>
    <t>015910045</t>
  </si>
  <si>
    <t>JACKSON MIDDLE</t>
  </si>
  <si>
    <t>015910104</t>
  </si>
  <si>
    <t>DELLVIEW EL</t>
  </si>
  <si>
    <t>015910121</t>
  </si>
  <si>
    <t>EL DORADO EL</t>
  </si>
  <si>
    <t>015915</t>
  </si>
  <si>
    <t>NORTHSIDE ISD</t>
  </si>
  <si>
    <t>015915001</t>
  </si>
  <si>
    <t>HOLMES H S</t>
  </si>
  <si>
    <t>015915002</t>
  </si>
  <si>
    <t>JAY H S</t>
  </si>
  <si>
    <t>015915041</t>
  </si>
  <si>
    <t>NEFF MIDDLE</t>
  </si>
  <si>
    <t>CSI Exited ATS</t>
  </si>
  <si>
    <t>015915111</t>
  </si>
  <si>
    <t>GLASS EL</t>
  </si>
  <si>
    <t>015915122</t>
  </si>
  <si>
    <t>PASSMORE EL</t>
  </si>
  <si>
    <t>015915131</t>
  </si>
  <si>
    <t>LINTON EL</t>
  </si>
  <si>
    <t>015915138</t>
  </si>
  <si>
    <t>KNOWLTON EL</t>
  </si>
  <si>
    <t>015915189</t>
  </si>
  <si>
    <t>MARTIN EL</t>
  </si>
  <si>
    <t>043910</t>
  </si>
  <si>
    <t>PLANO ISD</t>
  </si>
  <si>
    <t>043910112</t>
  </si>
  <si>
    <t>CHRISTIE EL</t>
  </si>
  <si>
    <t>043910127</t>
  </si>
  <si>
    <t>RASOR EL</t>
  </si>
  <si>
    <t>015907</t>
  </si>
  <si>
    <t>SAN ANTONIO ISD</t>
  </si>
  <si>
    <t>015907045</t>
  </si>
  <si>
    <t>ROGERS COLLEGE PREP MIDDLE</t>
  </si>
  <si>
    <t>015907050</t>
  </si>
  <si>
    <t>LONGFELLOW MIDDLE</t>
  </si>
  <si>
    <t>015907055</t>
  </si>
  <si>
    <t>RHODES MIDDLE</t>
  </si>
  <si>
    <t>015907057</t>
  </si>
  <si>
    <t>ROGERS MIDDLE</t>
  </si>
  <si>
    <t>015907059</t>
  </si>
  <si>
    <t>WHITTIER MIDDLE</t>
  </si>
  <si>
    <t>015907061</t>
  </si>
  <si>
    <t>TAFOLLA MIDDLE</t>
  </si>
  <si>
    <t>015907118</t>
  </si>
  <si>
    <t>DAVID CROCKETT ACADEMY</t>
  </si>
  <si>
    <t>015907132</t>
  </si>
  <si>
    <t>HERFF EL</t>
  </si>
  <si>
    <t>015907133</t>
  </si>
  <si>
    <t>RODRIGUEZ MONTESSORI EL</t>
  </si>
  <si>
    <t>015907134</t>
  </si>
  <si>
    <t>HIGHLAND HILLS EL</t>
  </si>
  <si>
    <t>015907141</t>
  </si>
  <si>
    <t>ELOISE JAPHET EL</t>
  </si>
  <si>
    <t>015907142</t>
  </si>
  <si>
    <t>M L KING ACADEMY</t>
  </si>
  <si>
    <t>015907143</t>
  </si>
  <si>
    <t>KELLY ACADEMY AT LOWELL</t>
  </si>
  <si>
    <t>015907147</t>
  </si>
  <si>
    <t>BOWDEN ACADEMY</t>
  </si>
  <si>
    <t>015907158</t>
  </si>
  <si>
    <t>PERSHING EL</t>
  </si>
  <si>
    <t>015907161</t>
  </si>
  <si>
    <t>ROGERS ACADEMY</t>
  </si>
  <si>
    <t>015907175</t>
  </si>
  <si>
    <t>WOODLAWN ACADEMY</t>
  </si>
  <si>
    <t>015907176</t>
  </si>
  <si>
    <t>WOODLAWN HILLS EL</t>
  </si>
  <si>
    <t>015907182</t>
  </si>
  <si>
    <t>HEALY-MURPHY</t>
  </si>
  <si>
    <t>071909</t>
  </si>
  <si>
    <t>SOCORRO ISD</t>
  </si>
  <si>
    <t>071909041</t>
  </si>
  <si>
    <t>SOCORRO MIDDLE</t>
  </si>
  <si>
    <t>071909117</t>
  </si>
  <si>
    <t>ERNESTO SERNA FINE ARTS ACADEMY</t>
  </si>
  <si>
    <t>101902041</t>
  </si>
  <si>
    <t>ALDINE MIDDLE</t>
  </si>
  <si>
    <t>TSI</t>
  </si>
  <si>
    <t>African American, Hispanic, Economically Disadvantaged, English Learners, Continuously Enrolled</t>
  </si>
  <si>
    <t>101902044</t>
  </si>
  <si>
    <t>STOVALL MIDDLE</t>
  </si>
  <si>
    <t>101902046</t>
  </si>
  <si>
    <t>HOFFMAN MIDDLE</t>
  </si>
  <si>
    <t>Hispanic, Economically Disadvantaged, English Learners, Former Special Education, Continuously Enrolled</t>
  </si>
  <si>
    <t>101902047</t>
  </si>
  <si>
    <t>SHOTWELL MIDDLE</t>
  </si>
  <si>
    <t>Continuously Enrolled</t>
  </si>
  <si>
    <t>101902048</t>
  </si>
  <si>
    <t>GRANTHAM ACADEMY</t>
  </si>
  <si>
    <t>Hispanic, Economically Disadvantaged, English Learners, Special Education, Continuously Enrolled</t>
  </si>
  <si>
    <t>101902054</t>
  </si>
  <si>
    <t>JONES MIDDLE</t>
  </si>
  <si>
    <t>Hispanic, Continuously Enrolled</t>
  </si>
  <si>
    <t>101902062</t>
  </si>
  <si>
    <t>HOUSTON ACADEMY</t>
  </si>
  <si>
    <t>Special Education</t>
  </si>
  <si>
    <t>101902101</t>
  </si>
  <si>
    <t>ANDERSON ACADEMY</t>
  </si>
  <si>
    <t>101902113</t>
  </si>
  <si>
    <t>RAYMOND EL</t>
  </si>
  <si>
    <t>101902114</t>
  </si>
  <si>
    <t>SMITH EL</t>
  </si>
  <si>
    <t>Hispanic, Economically Disadvantaged, English Learners, Continuously Enrolled</t>
  </si>
  <si>
    <t>101902119</t>
  </si>
  <si>
    <t>STEPHENS EL</t>
  </si>
  <si>
    <t>101902130</t>
  </si>
  <si>
    <t>KUJAWA EL</t>
  </si>
  <si>
    <t>Special Education, Continuously Enrolled</t>
  </si>
  <si>
    <t>101902137</t>
  </si>
  <si>
    <t>ECKERT EL</t>
  </si>
  <si>
    <t>Economically Disadvantaged, Continuously Enrolled</t>
  </si>
  <si>
    <t>220901041</t>
  </si>
  <si>
    <t>CARTER J H</t>
  </si>
  <si>
    <t>220901045</t>
  </si>
  <si>
    <t>BAILEY J H</t>
  </si>
  <si>
    <t>Hispanic, Two or More Races, English Learners, Special Education</t>
  </si>
  <si>
    <t>220901051</t>
  </si>
  <si>
    <t>BOLES J H</t>
  </si>
  <si>
    <t>Two or More Races</t>
  </si>
  <si>
    <t>220901052</t>
  </si>
  <si>
    <t>BARNETT J H</t>
  </si>
  <si>
    <t>Hispanic, Economically Disadvantaged, Continuously Enrolled</t>
  </si>
  <si>
    <t>220901053</t>
  </si>
  <si>
    <t>NICHOLS J H</t>
  </si>
  <si>
    <t>220901103</t>
  </si>
  <si>
    <t>CROW LEADERSHIP ACADEMY</t>
  </si>
  <si>
    <t>220901109</t>
  </si>
  <si>
    <t>RANKIN EL</t>
  </si>
  <si>
    <t>Hispanic, English Learners, Continuously Enrolled</t>
  </si>
  <si>
    <t>220901114</t>
  </si>
  <si>
    <t>THORNTON EL</t>
  </si>
  <si>
    <t>220901120</t>
  </si>
  <si>
    <t>POPE EL</t>
  </si>
  <si>
    <t>African American, Hispanic, Economically Disadvantaged, Special Education, Continuously Enrolled</t>
  </si>
  <si>
    <t>220901121</t>
  </si>
  <si>
    <t>JOHNS EL</t>
  </si>
  <si>
    <t>220901128</t>
  </si>
  <si>
    <t>KEY EL</t>
  </si>
  <si>
    <t>220901140</t>
  </si>
  <si>
    <t>STARRETT EL</t>
  </si>
  <si>
    <t>Asian, Special Education</t>
  </si>
  <si>
    <t>220901141</t>
  </si>
  <si>
    <t>BEBENSEE EL</t>
  </si>
  <si>
    <t>220901148</t>
  </si>
  <si>
    <t>WEBB EL</t>
  </si>
  <si>
    <t>220901151</t>
  </si>
  <si>
    <t>LARSON EL</t>
  </si>
  <si>
    <t>Economically Disadvantaged, Special Education, Continuously Enrolled</t>
  </si>
  <si>
    <t>220901164</t>
  </si>
  <si>
    <t>PEACH EL</t>
  </si>
  <si>
    <t>Hispanic, Special Education</t>
  </si>
  <si>
    <t>220901165</t>
  </si>
  <si>
    <t>MCNUTT EL</t>
  </si>
  <si>
    <t>227901043</t>
  </si>
  <si>
    <t>LIVELY MIDDLE</t>
  </si>
  <si>
    <t>227901044</t>
  </si>
  <si>
    <t>KEALING MIDDLE</t>
  </si>
  <si>
    <t>African American</t>
  </si>
  <si>
    <t>227901061</t>
  </si>
  <si>
    <t>PAREDES MIDDLE</t>
  </si>
  <si>
    <t>African American, Hispanic, White, Economically Disadvantaged, English Learners, Special Education, Continuously Enrolled</t>
  </si>
  <si>
    <t>227901104</t>
  </si>
  <si>
    <t>BECKER EL</t>
  </si>
  <si>
    <t>Economically Disadvantaged</t>
  </si>
  <si>
    <t>227901105</t>
  </si>
  <si>
    <t>BLACKSHEAR EL</t>
  </si>
  <si>
    <t>227901111</t>
  </si>
  <si>
    <t>CAMPBELL EL</t>
  </si>
  <si>
    <t>Hispanic</t>
  </si>
  <si>
    <t>227901140</t>
  </si>
  <si>
    <t>TRAVIS HTS EL</t>
  </si>
  <si>
    <t>Asian</t>
  </si>
  <si>
    <t>227901143</t>
  </si>
  <si>
    <t>PATTON EL</t>
  </si>
  <si>
    <t>227901151</t>
  </si>
  <si>
    <t>PILLOW EL</t>
  </si>
  <si>
    <t>227901152</t>
  </si>
  <si>
    <t>WOOLDRIDGE EL</t>
  </si>
  <si>
    <t>227901156</t>
  </si>
  <si>
    <t>ODOM EL</t>
  </si>
  <si>
    <t>227901159</t>
  </si>
  <si>
    <t>GRAHAM EL</t>
  </si>
  <si>
    <t>227901172</t>
  </si>
  <si>
    <t>KOCUREK EL</t>
  </si>
  <si>
    <t>227901188</t>
  </si>
  <si>
    <t>PADRON EL</t>
  </si>
  <si>
    <t>031901</t>
  </si>
  <si>
    <t>BROWNSVILLE ISD</t>
  </si>
  <si>
    <t>031901044</t>
  </si>
  <si>
    <t>STELL MIDDLE</t>
  </si>
  <si>
    <t>031901101</t>
  </si>
  <si>
    <t>CANALES EL</t>
  </si>
  <si>
    <t>English Learners, Continuously Enrolled</t>
  </si>
  <si>
    <t>031901108</t>
  </si>
  <si>
    <t>PUTEGNAT EL</t>
  </si>
  <si>
    <t>170902104</t>
  </si>
  <si>
    <t>170902134</t>
  </si>
  <si>
    <t>HOPE EL</t>
  </si>
  <si>
    <t>White, Continuously Enrolled</t>
  </si>
  <si>
    <t>170902135</t>
  </si>
  <si>
    <t>GORDON-REED EL</t>
  </si>
  <si>
    <t>101907</t>
  </si>
  <si>
    <t>CYPRESS-FAIRBANKS ISD</t>
  </si>
  <si>
    <t>101907044</t>
  </si>
  <si>
    <t>CAMPBELL MIDDLE</t>
  </si>
  <si>
    <t>101907045</t>
  </si>
  <si>
    <t>WATKINS MIDDLE</t>
  </si>
  <si>
    <t>101907047</t>
  </si>
  <si>
    <t>COOK MIDDLE</t>
  </si>
  <si>
    <t>English Learners</t>
  </si>
  <si>
    <t>101907048</t>
  </si>
  <si>
    <t>TRUITT MIDDLE</t>
  </si>
  <si>
    <t>101907053</t>
  </si>
  <si>
    <t>KAHLA MIDDLE</t>
  </si>
  <si>
    <t>Two or More Races, English Learners, Continuously Enrolled</t>
  </si>
  <si>
    <t>101907109</t>
  </si>
  <si>
    <t>YEAGER EL</t>
  </si>
  <si>
    <t>101907120</t>
  </si>
  <si>
    <t>EMMOTT EL</t>
  </si>
  <si>
    <t>101907141</t>
  </si>
  <si>
    <t>TIPPS EL</t>
  </si>
  <si>
    <t>101907151</t>
  </si>
  <si>
    <t>HEMMENWAY EL</t>
  </si>
  <si>
    <t>White</t>
  </si>
  <si>
    <t>057905008</t>
  </si>
  <si>
    <t>JUSTIN F KIMBALL H S</t>
  </si>
  <si>
    <t>Hispanic, English Learners</t>
  </si>
  <si>
    <t>057905060</t>
  </si>
  <si>
    <t>BOUDE STOREY MIDDLE</t>
  </si>
  <si>
    <t>African American, Continuously Enrolled</t>
  </si>
  <si>
    <t>057905072</t>
  </si>
  <si>
    <t>DR FREDERICK DOUGLASS TODD SR MIDDLE</t>
  </si>
  <si>
    <t>057905129</t>
  </si>
  <si>
    <t>S S CONNER EL</t>
  </si>
  <si>
    <t>057905133</t>
  </si>
  <si>
    <t>BARBARA JORDAN EL</t>
  </si>
  <si>
    <t>057905184</t>
  </si>
  <si>
    <t>BEN MILAM EL</t>
  </si>
  <si>
    <t>057905185</t>
  </si>
  <si>
    <t>WILLIAM B MILLER EL</t>
  </si>
  <si>
    <t>057905216</t>
  </si>
  <si>
    <t>EDWARD TITCHE EL</t>
  </si>
  <si>
    <t>057905244</t>
  </si>
  <si>
    <t>SEAGOVILLE NORTH EL</t>
  </si>
  <si>
    <t>057905265</t>
  </si>
  <si>
    <t>ELADIO R MARTINEZ LEARNING CENTER</t>
  </si>
  <si>
    <t>057905277</t>
  </si>
  <si>
    <t>THOMAS TOLBERT EL</t>
  </si>
  <si>
    <t>057905283</t>
  </si>
  <si>
    <t>ESPERANZA MEDRANO EL</t>
  </si>
  <si>
    <t>061901107</t>
  </si>
  <si>
    <t>NEWTON RAYZOR EL</t>
  </si>
  <si>
    <t>061901110</t>
  </si>
  <si>
    <t>GINNINGS EL</t>
  </si>
  <si>
    <t>White, Economically Disadvantaged, Special Education</t>
  </si>
  <si>
    <t>061901111</t>
  </si>
  <si>
    <t>BORMAN EL</t>
  </si>
  <si>
    <t>061901119</t>
  </si>
  <si>
    <t>SAVANNAH EL</t>
  </si>
  <si>
    <t>061901123</t>
  </si>
  <si>
    <t>071902103</t>
  </si>
  <si>
    <t>AOY EL</t>
  </si>
  <si>
    <t>071902112</t>
  </si>
  <si>
    <t>CROCKETT EL</t>
  </si>
  <si>
    <t>Hispanic, Economically Disadvantaged, Special Education, Continuously Enrolled</t>
  </si>
  <si>
    <t>071902128</t>
  </si>
  <si>
    <t>LOGAN EL</t>
  </si>
  <si>
    <t>White, Special Education</t>
  </si>
  <si>
    <t>071902141</t>
  </si>
  <si>
    <t>STANTON EL</t>
  </si>
  <si>
    <t>English Learners, Special Education, Continuously Enrolled</t>
  </si>
  <si>
    <t>071902182</t>
  </si>
  <si>
    <t>DR JOSEPH TORRES EL</t>
  </si>
  <si>
    <t>071902183</t>
  </si>
  <si>
    <t>COACH ARCHIE DURAN EL</t>
  </si>
  <si>
    <t>079907048</t>
  </si>
  <si>
    <t>LAKE OLYMPIA MIDDLE</t>
  </si>
  <si>
    <t>African American, Asian, Special Education, Continuously Enrolled</t>
  </si>
  <si>
    <t>079907131</t>
  </si>
  <si>
    <t>EDGAR GLOVER JR EL</t>
  </si>
  <si>
    <t>079907145</t>
  </si>
  <si>
    <t>OAKLAND EL</t>
  </si>
  <si>
    <t>220905009</t>
  </si>
  <si>
    <t>POLYTECHNIC H S</t>
  </si>
  <si>
    <t>African American, Economically Disadvantaged, English Learners</t>
  </si>
  <si>
    <t>220905042</t>
  </si>
  <si>
    <t>DAGGETT MIDDLE</t>
  </si>
  <si>
    <t>White, Economically Disadvantaged</t>
  </si>
  <si>
    <t>220905045</t>
  </si>
  <si>
    <t>FOREST OAK MIDDLE</t>
  </si>
  <si>
    <t>220905049</t>
  </si>
  <si>
    <t>KIRKPATRICK MIDDLE</t>
  </si>
  <si>
    <t>220905053</t>
  </si>
  <si>
    <t>MONNIG MIDDLE</t>
  </si>
  <si>
    <t>220905056</t>
  </si>
  <si>
    <t>RIVERSIDE MIDDLE</t>
  </si>
  <si>
    <t>220905060</t>
  </si>
  <si>
    <t>WEDGWOOD MIDDLE</t>
  </si>
  <si>
    <t>African American, Economically Disadvantaged, Continuously Enrolled</t>
  </si>
  <si>
    <t>220905062</t>
  </si>
  <si>
    <t>INT'L NEWCOMER ACAD</t>
  </si>
  <si>
    <t>Economically Disadvantaged, English Learners</t>
  </si>
  <si>
    <t>220905069</t>
  </si>
  <si>
    <t>MCLEAN 6TH GRADE</t>
  </si>
  <si>
    <t>220905070</t>
  </si>
  <si>
    <t>JEAN MCCLUNG MIDDLE</t>
  </si>
  <si>
    <t>220905115</t>
  </si>
  <si>
    <t>GEORGE CLARKE EL</t>
  </si>
  <si>
    <t>220905125</t>
  </si>
  <si>
    <t>EASTERN HILLS EL</t>
  </si>
  <si>
    <t>220905126</t>
  </si>
  <si>
    <t>EAST HANDLEY EL</t>
  </si>
  <si>
    <t>Hispanic, Economically Disadvantaged</t>
  </si>
  <si>
    <t>220905130</t>
  </si>
  <si>
    <t>HARLEAN BEAL EL</t>
  </si>
  <si>
    <t>220905135</t>
  </si>
  <si>
    <t>VAN ZANDT-GUINN EL</t>
  </si>
  <si>
    <t>220905138</t>
  </si>
  <si>
    <t>HELBING EL</t>
  </si>
  <si>
    <t>220905147</t>
  </si>
  <si>
    <t>MORNINGSIDE EL</t>
  </si>
  <si>
    <t>220905148</t>
  </si>
  <si>
    <t>CHARLES NASH EL</t>
  </si>
  <si>
    <t>220905153</t>
  </si>
  <si>
    <t>A M PATE EL</t>
  </si>
  <si>
    <t>220905159</t>
  </si>
  <si>
    <t>VERSIA WILLIAMS EL</t>
  </si>
  <si>
    <t>220905167</t>
  </si>
  <si>
    <t>SOUTH HILLS EL</t>
  </si>
  <si>
    <t>220905168</t>
  </si>
  <si>
    <t>SPRINGDALE EL</t>
  </si>
  <si>
    <t>220905176</t>
  </si>
  <si>
    <t>WAVERLY PARK EL</t>
  </si>
  <si>
    <t>Economically Disadvantaged, Special Education</t>
  </si>
  <si>
    <t>220905178</t>
  </si>
  <si>
    <t>WESTCREEK EL</t>
  </si>
  <si>
    <t>Hispanic, Special Education, Continuously Enrolled</t>
  </si>
  <si>
    <t>220905180</t>
  </si>
  <si>
    <t>WESTERN HILLS EL</t>
  </si>
  <si>
    <t>Economically Disadvantaged, English Learners, Continuously Enrolled</t>
  </si>
  <si>
    <t>220905187</t>
  </si>
  <si>
    <t>J T STEVENS EL</t>
  </si>
  <si>
    <t>Hispanic, English Learners, Special Education</t>
  </si>
  <si>
    <t>220905208</t>
  </si>
  <si>
    <t>T A SIMS EL</t>
  </si>
  <si>
    <t>220905216</t>
  </si>
  <si>
    <t>WOODWAY EL</t>
  </si>
  <si>
    <t>220905225</t>
  </si>
  <si>
    <t>BONNIE BRAE</t>
  </si>
  <si>
    <t>057909043</t>
  </si>
  <si>
    <t>SAM HOUSTON MIDDLE</t>
  </si>
  <si>
    <t>057909046</t>
  </si>
  <si>
    <t>O'BANION MIDDLE</t>
  </si>
  <si>
    <t>057909049</t>
  </si>
  <si>
    <t>WEBB MIDDLE</t>
  </si>
  <si>
    <t>Former Special Education</t>
  </si>
  <si>
    <t>057909054</t>
  </si>
  <si>
    <t>VERNON SCHRADE MIDDLE</t>
  </si>
  <si>
    <t>057909056</t>
  </si>
  <si>
    <t>COYLE MIDDLE TECHNOLOGY CENTER FOR MATH &amp; SCIENCE</t>
  </si>
  <si>
    <t>057909057</t>
  </si>
  <si>
    <t>LYLES COLLEGIATE MIDDLE</t>
  </si>
  <si>
    <t>057909108</t>
  </si>
  <si>
    <t>DAUGHERTY EL</t>
  </si>
  <si>
    <t>057909124</t>
  </si>
  <si>
    <t>HEATHER GLEN EL</t>
  </si>
  <si>
    <t>057909126</t>
  </si>
  <si>
    <t>DAVIS EL</t>
  </si>
  <si>
    <t>057909128</t>
  </si>
  <si>
    <t>ETHRIDGE EL</t>
  </si>
  <si>
    <t>101912048</t>
  </si>
  <si>
    <t>CLIFTON MIDDLE</t>
  </si>
  <si>
    <t>101912058</t>
  </si>
  <si>
    <t>GREGORY-LINCOLN ED CTR</t>
  </si>
  <si>
    <t>101912060</t>
  </si>
  <si>
    <t>REVERE MIDDLE</t>
  </si>
  <si>
    <t>101912123</t>
  </si>
  <si>
    <t>CODWELL EL</t>
  </si>
  <si>
    <t>101912151</t>
  </si>
  <si>
    <t>BELL EL</t>
  </si>
  <si>
    <t>101912194</t>
  </si>
  <si>
    <t>LEWIS EL</t>
  </si>
  <si>
    <t>101912219</t>
  </si>
  <si>
    <t>PINEY POINT EL</t>
  </si>
  <si>
    <t>101912227</t>
  </si>
  <si>
    <t>MCNAMARA EL</t>
  </si>
  <si>
    <t>101912257</t>
  </si>
  <si>
    <t>WHIDBY EL</t>
  </si>
  <si>
    <t>101912260</t>
  </si>
  <si>
    <t>WINDSOR VILLAGE EL</t>
  </si>
  <si>
    <t>101912262</t>
  </si>
  <si>
    <t>GRISSOM EL</t>
  </si>
  <si>
    <t>101912263</t>
  </si>
  <si>
    <t>LAW EL</t>
  </si>
  <si>
    <t>101912267</t>
  </si>
  <si>
    <t>WHITE E EL</t>
  </si>
  <si>
    <t>101912274</t>
  </si>
  <si>
    <t>ASKEW EL</t>
  </si>
  <si>
    <t>101912283</t>
  </si>
  <si>
    <t>GARCIA EL</t>
  </si>
  <si>
    <t>101912289</t>
  </si>
  <si>
    <t>MARTINEZ C EL</t>
  </si>
  <si>
    <t>101912456</t>
  </si>
  <si>
    <t>H S AHEAD ACADEMY</t>
  </si>
  <si>
    <t>057912005</t>
  </si>
  <si>
    <t>BARBARA CARDWELL CAREER PREPARATORY CENTER</t>
  </si>
  <si>
    <t>Hispanic, Economically Disadvantaged, English Learners</t>
  </si>
  <si>
    <t>057912046</t>
  </si>
  <si>
    <t>HOUSTON MIDDLE</t>
  </si>
  <si>
    <t>057912050</t>
  </si>
  <si>
    <t>LADY BIRD JOHNSON MIDDLE</t>
  </si>
  <si>
    <t>057912102</t>
  </si>
  <si>
    <t>057912105</t>
  </si>
  <si>
    <t>GOOD EL</t>
  </si>
  <si>
    <t>057912107</t>
  </si>
  <si>
    <t>HALEY T EL</t>
  </si>
  <si>
    <t>057912108</t>
  </si>
  <si>
    <t>JOHNSTON EL</t>
  </si>
  <si>
    <t>African American, Hispanic, Economically Disadvantaged, Special Education</t>
  </si>
  <si>
    <t>057912120</t>
  </si>
  <si>
    <t>TOWNLEY EL</t>
  </si>
  <si>
    <t>101914</t>
  </si>
  <si>
    <t>KATY ISD</t>
  </si>
  <si>
    <t>101914105</t>
  </si>
  <si>
    <t>ZELMA HUTSELL EL</t>
  </si>
  <si>
    <t>101914110</t>
  </si>
  <si>
    <t>SUNDOWN EL</t>
  </si>
  <si>
    <t>101915</t>
  </si>
  <si>
    <t>KLEIN ISD</t>
  </si>
  <si>
    <t>101915042</t>
  </si>
  <si>
    <t>HILDEBRANDT INT</t>
  </si>
  <si>
    <t>079901</t>
  </si>
  <si>
    <t>LAMAR CISD</t>
  </si>
  <si>
    <t>079901041</t>
  </si>
  <si>
    <t>LAMAR JH</t>
  </si>
  <si>
    <t>079901116</t>
  </si>
  <si>
    <t>T L PINK EL</t>
  </si>
  <si>
    <t>015910041</t>
  </si>
  <si>
    <t>EISENHOWER MIDDLE</t>
  </si>
  <si>
    <t>015910043</t>
  </si>
  <si>
    <t>KRUEGER MIDDLE</t>
  </si>
  <si>
    <t>015910044</t>
  </si>
  <si>
    <t>NIMITZ MIDDLE</t>
  </si>
  <si>
    <t>015910046</t>
  </si>
  <si>
    <t>WHITE MIDDLE</t>
  </si>
  <si>
    <t>African American, Economically Disadvantaged</t>
  </si>
  <si>
    <t>015910047</t>
  </si>
  <si>
    <t>WOOD MIDDLE</t>
  </si>
  <si>
    <t>Hispanic, White, Continuously Enrolled</t>
  </si>
  <si>
    <t>015910058</t>
  </si>
  <si>
    <t>HARRIS MIDDLE</t>
  </si>
  <si>
    <t>015910102</t>
  </si>
  <si>
    <t>COKER EL</t>
  </si>
  <si>
    <t>015910103</t>
  </si>
  <si>
    <t>COLONIAL HILLS EL</t>
  </si>
  <si>
    <t>Hispanic, White, Economically Disadvantaged, Special Education, Continuously Enrolled</t>
  </si>
  <si>
    <t>015910105</t>
  </si>
  <si>
    <t>EAST TERRELL HILLS EL</t>
  </si>
  <si>
    <t>015910108</t>
  </si>
  <si>
    <t>LARKSPUR EL</t>
  </si>
  <si>
    <t>African American, Hispanic, English Learners, Special Education</t>
  </si>
  <si>
    <t>015910114</t>
  </si>
  <si>
    <t>WALZEM EL</t>
  </si>
  <si>
    <t>015910117</t>
  </si>
  <si>
    <t>WINDCREST EL</t>
  </si>
  <si>
    <t>015915042</t>
  </si>
  <si>
    <t>RAYBURN MIDDLE</t>
  </si>
  <si>
    <t>015915046</t>
  </si>
  <si>
    <t>PEASE MIDDLE</t>
  </si>
  <si>
    <t>015915103</t>
  </si>
  <si>
    <t>GLENOAKS EL</t>
  </si>
  <si>
    <t>015915107</t>
  </si>
  <si>
    <t>FISHER EL</t>
  </si>
  <si>
    <t>015915130</t>
  </si>
  <si>
    <t>MURNIN EL</t>
  </si>
  <si>
    <t>015915135</t>
  </si>
  <si>
    <t>CODY EL</t>
  </si>
  <si>
    <t>015915184</t>
  </si>
  <si>
    <t>HATCHETT EL</t>
  </si>
  <si>
    <t>101917</t>
  </si>
  <si>
    <t>PASADENA ISD</t>
  </si>
  <si>
    <t>101917047</t>
  </si>
  <si>
    <t>SOUTHMORE INT</t>
  </si>
  <si>
    <t>101917123</t>
  </si>
  <si>
    <t>STUCHBERY EL</t>
  </si>
  <si>
    <t>101917144</t>
  </si>
  <si>
    <t>KELLER MIDDLE</t>
  </si>
  <si>
    <t>043910003</t>
  </si>
  <si>
    <t>WILLIAMS H S</t>
  </si>
  <si>
    <t>043910045</t>
  </si>
  <si>
    <t>ARMSTRONG MIDDLE</t>
  </si>
  <si>
    <t>African American, Hispanic, White, Asian, Economically Disadvantaged, English Learners</t>
  </si>
  <si>
    <t>043910052</t>
  </si>
  <si>
    <t>FRANKFORD MIDDLE</t>
  </si>
  <si>
    <t>043910104</t>
  </si>
  <si>
    <t>SIGLER EL</t>
  </si>
  <si>
    <t>043910117</t>
  </si>
  <si>
    <t>THOMAS EL</t>
  </si>
  <si>
    <t>015907006</t>
  </si>
  <si>
    <t>HOUSTON H S</t>
  </si>
  <si>
    <t>015907008</t>
  </si>
  <si>
    <t>LANIER H S</t>
  </si>
  <si>
    <t>015907101</t>
  </si>
  <si>
    <t>ARNOLD EL</t>
  </si>
  <si>
    <t>English Learners, Special Education</t>
  </si>
  <si>
    <t>015907112</t>
  </si>
  <si>
    <t>BRISCOE EL</t>
  </si>
  <si>
    <t>015907117</t>
  </si>
  <si>
    <t>AGNES COTTON ACADEMY</t>
  </si>
  <si>
    <t>015907121</t>
  </si>
  <si>
    <t>DE ZAVALA EL</t>
  </si>
  <si>
    <t>015907129</t>
  </si>
  <si>
    <t>CHARLES GRAEBNER EL</t>
  </si>
  <si>
    <t>015907137</t>
  </si>
  <si>
    <t>HIRSCH EL</t>
  </si>
  <si>
    <t>015907144</t>
  </si>
  <si>
    <t>SARAH S KING EL</t>
  </si>
  <si>
    <t>Asian, Economically Disadvantaged, Continuously Enrolled</t>
  </si>
  <si>
    <t>015907148</t>
  </si>
  <si>
    <t>MADISON EL</t>
  </si>
  <si>
    <t>015907150</t>
  </si>
  <si>
    <t>MAVERICK EL</t>
  </si>
  <si>
    <t>015907157</t>
  </si>
  <si>
    <t>015907168</t>
  </si>
  <si>
    <t>DEMOCRACY PREP AT STEWART ACADEMY</t>
  </si>
  <si>
    <t>015907179</t>
  </si>
  <si>
    <t>HAWTHORNE PK-8 ACADEMY</t>
  </si>
  <si>
    <t>015907241</t>
  </si>
  <si>
    <t>CARVAJAL EL</t>
  </si>
  <si>
    <t>071909128</t>
  </si>
  <si>
    <t>CHESTER E JORDAN</t>
  </si>
  <si>
    <t>Number of Schools</t>
  </si>
  <si>
    <t>Grade Span Served</t>
  </si>
  <si>
    <t>Urban/Suburban/Rural</t>
  </si>
  <si>
    <t>% Economically Disadvantaged</t>
  </si>
  <si>
    <t>% English Learner</t>
  </si>
  <si>
    <t>% Special Education</t>
  </si>
  <si>
    <t>Major Student Groups</t>
  </si>
  <si>
    <t>Student Growth Trend</t>
  </si>
  <si>
    <t>CSI Schools</t>
  </si>
  <si>
    <t>TSI Schools</t>
  </si>
  <si>
    <t>CSI/TSI Score</t>
  </si>
  <si>
    <t>Normalized Scoring</t>
  </si>
  <si>
    <t>Website</t>
  </si>
  <si>
    <t>Strategic Plan Link</t>
  </si>
  <si>
    <t>Notes</t>
  </si>
  <si>
    <t>PK-12</t>
  </si>
  <si>
    <t>Suburban</t>
  </si>
  <si>
    <t>Hispanic - 64%</t>
  </si>
  <si>
    <t>https://www.aldineisd.org</t>
  </si>
  <si>
    <t>https://drive.google.com/file/d/1Tr58kpd15v6MwjHQMC0c_2Oi_FwKFYpC/view</t>
  </si>
  <si>
    <t>Urban</t>
  </si>
  <si>
    <t>Hispanic - 48%</t>
  </si>
  <si>
    <t>https://www.arlingtonisd.org</t>
  </si>
  <si>
    <t>https://www.aisd.net/wp-content/files/Arlington-Independent-School-District-District-Plan.pdf</t>
  </si>
  <si>
    <t>Hispanic - 54%</t>
  </si>
  <si>
    <t>https://www.austinisd.org</t>
  </si>
  <si>
    <t>Hispanic - 98%</t>
  </si>
  <si>
    <t>https://www.brownsvilleisd.org</t>
  </si>
  <si>
    <t>Hispanic - 41%</t>
  </si>
  <si>
    <t>https://www.conroeisd.org</t>
  </si>
  <si>
    <t>Hispanic - 46%</t>
  </si>
  <si>
    <t>https://www.cypress-fairbanksisd.org</t>
  </si>
  <si>
    <t>Hispanic - 71%</t>
  </si>
  <si>
    <t>https://www.dallasisd.org</t>
  </si>
  <si>
    <t>https://resources.finalsite.net/images/v1767901112/dallasisdorg/dallasisdorg/bkrlx3afxteovjoigu3b/districtimprovementplan.pdf</t>
  </si>
  <si>
    <t>Hispanic - 36%</t>
  </si>
  <si>
    <t>https://www.dentonisd.org</t>
  </si>
  <si>
    <t>Hispanic - 84%</t>
  </si>
  <si>
    <t>https://www.elisd.org</t>
  </si>
  <si>
    <t>Asian - 28%</t>
  </si>
  <si>
    <t>https://www.fortisd.org</t>
  </si>
  <si>
    <t>Hispanic - 65%</t>
  </si>
  <si>
    <t>Asian - 45%</t>
  </si>
  <si>
    <t>https://www.friscoisd.org</t>
  </si>
  <si>
    <t>https://www.garlandisd.org</t>
  </si>
  <si>
    <t>Hispanic - 61%</t>
  </si>
  <si>
    <t>https://www.houstonisd.org</t>
  </si>
  <si>
    <t>Hispanic - 85%</t>
  </si>
  <si>
    <t>https://www.ideaisd.org</t>
  </si>
  <si>
    <t>Hispanic - 77%</t>
  </si>
  <si>
    <t>https://www.irvingisd.org</t>
  </si>
  <si>
    <t>https://www.katyisd.org</t>
  </si>
  <si>
    <t>Hispanic - 45%</t>
  </si>
  <si>
    <t>https://www.kleinisd.org</t>
  </si>
  <si>
    <t>Hispanic - 38%</t>
  </si>
  <si>
    <t>https://www.lamarisd.org</t>
  </si>
  <si>
    <t>Hispanic - 99%</t>
  </si>
  <si>
    <t>https://www.laredoisd.org</t>
  </si>
  <si>
    <t>Hispanic - 93%</t>
  </si>
  <si>
    <t>https://www.mcallenisd.org</t>
  </si>
  <si>
    <t>https://www.northisd.org</t>
  </si>
  <si>
    <t>Hispanic - 68%</t>
  </si>
  <si>
    <t>https://www.northsideisd.org</t>
  </si>
  <si>
    <t>Hispanic - 83%</t>
  </si>
  <si>
    <t>https://www.pasadenaisd.org</t>
  </si>
  <si>
    <t>Hispanic - 30%</t>
  </si>
  <si>
    <t>https://www.planoisd.org</t>
  </si>
  <si>
    <t>Hispanic - 90%</t>
  </si>
  <si>
    <t>https://www.sanisd.org</t>
  </si>
  <si>
    <t>https://www.socorroisd.org</t>
  </si>
  <si>
    <t>Position</t>
  </si>
  <si>
    <t>First Name</t>
  </si>
  <si>
    <t>Last Name</t>
  </si>
  <si>
    <t>Title</t>
  </si>
  <si>
    <t>Email</t>
  </si>
  <si>
    <t>Phone Number</t>
  </si>
  <si>
    <t>SUPERINTENDENT</t>
  </si>
  <si>
    <t>LaTonya</t>
  </si>
  <si>
    <t>Goffney</t>
  </si>
  <si>
    <t>Superintendent of Schools</t>
  </si>
  <si>
    <t>lmgoffney@aldineisd.org</t>
  </si>
  <si>
    <t>() -</t>
  </si>
  <si>
    <t>PROFESSIONAL LEARNING DIRECTOR</t>
  </si>
  <si>
    <t>Georgina</t>
  </si>
  <si>
    <t>Foroi</t>
  </si>
  <si>
    <t>Executive Director of Professional Learning and Leadership Development</t>
  </si>
  <si>
    <t>gforoi@aldineisd.org</t>
  </si>
  <si>
    <t>(281) 985-6438</t>
  </si>
  <si>
    <t>SPECIAL EDUCATION DIRECTOR</t>
  </si>
  <si>
    <t>Tracy</t>
  </si>
  <si>
    <t>Bailey</t>
  </si>
  <si>
    <t>Executive Director of Special Education</t>
  </si>
  <si>
    <t>tybailey@aldineisd.org</t>
  </si>
  <si>
    <t>(281) 985-6053</t>
  </si>
  <si>
    <t>ESL ELL COORDINATOR</t>
  </si>
  <si>
    <t>Aniyushka</t>
  </si>
  <si>
    <t>Martin</t>
  </si>
  <si>
    <t>Executive Director of Multilingual Services</t>
  </si>
  <si>
    <t>asmartin@aldineisd.org</t>
  </si>
  <si>
    <t>(281) 985-7370</t>
  </si>
  <si>
    <t>DIRECTOR ASSESSMENT DATA</t>
  </si>
  <si>
    <t>Dawn</t>
  </si>
  <si>
    <t>Rodriguez</t>
  </si>
  <si>
    <t>Chief of Accountability, Assessment, and Analytics</t>
  </si>
  <si>
    <t>DNAyers@AldineISD.org</t>
  </si>
  <si>
    <t>(281) 985-6432</t>
  </si>
  <si>
    <t>CTE COLLEGE CAREER READINESS DIRECTOR</t>
  </si>
  <si>
    <t>Brooke</t>
  </si>
  <si>
    <t>Executive Director of Career &amp; Technical Education</t>
  </si>
  <si>
    <t>bdmartin@aldineisd.org</t>
  </si>
  <si>
    <t>(281) 985-6646</t>
  </si>
  <si>
    <t>CHIEF ACADEMIC OFFICER</t>
  </si>
  <si>
    <t>Faviola</t>
  </si>
  <si>
    <t>Cantú</t>
  </si>
  <si>
    <t>Chief Academic Officer</t>
  </si>
  <si>
    <t>fcantu@aldineisd.org</t>
  </si>
  <si>
    <t>(281) 985-3791</t>
  </si>
  <si>
    <t>ASSISTANT SUPERINTENDENT</t>
  </si>
  <si>
    <t>Lindsey</t>
  </si>
  <si>
    <t>Wise</t>
  </si>
  <si>
    <t>Assistant Superintendent of Teaching and Learning</t>
  </si>
  <si>
    <t>(281) 985-6435</t>
  </si>
  <si>
    <t>Matt</t>
  </si>
  <si>
    <t>Smith</t>
  </si>
  <si>
    <t>msmith32@aisd.net</t>
  </si>
  <si>
    <t>(682) 867-4611</t>
  </si>
  <si>
    <t>MATH COORDINATOR</t>
  </si>
  <si>
    <t>Tiffany</t>
  </si>
  <si>
    <t>LeGrand</t>
  </si>
  <si>
    <t>K-12 Mathematics Coordinator</t>
  </si>
  <si>
    <t>tlegrand@aisd.net</t>
  </si>
  <si>
    <t>(682) 867-7475</t>
  </si>
  <si>
    <t>Steven</t>
  </si>
  <si>
    <t>Wurtz</t>
  </si>
  <si>
    <t>swurtz@aisd.net</t>
  </si>
  <si>
    <t>(682) 867-7300</t>
  </si>
  <si>
    <t>Christi</t>
  </si>
  <si>
    <t>Buell</t>
  </si>
  <si>
    <t>Assistant Superintendent of Academic Services</t>
  </si>
  <si>
    <t>cbuell@aisd.net</t>
  </si>
  <si>
    <t>(682) 867-7734</t>
  </si>
  <si>
    <t>CURRICULUM DIRECTOR</t>
  </si>
  <si>
    <t>Delisse</t>
  </si>
  <si>
    <t>Hardy</t>
  </si>
  <si>
    <t>Executive Director of Curriculum &amp; Instruction</t>
  </si>
  <si>
    <t>dhardy1@aisd.net</t>
  </si>
  <si>
    <t>(682) 867-7455</t>
  </si>
  <si>
    <t>Matias</t>
  </si>
  <si>
    <t>Segura</t>
  </si>
  <si>
    <t>Superintendent</t>
  </si>
  <si>
    <t>matias.segura@austinisd.org</t>
  </si>
  <si>
    <t>Mary</t>
  </si>
  <si>
    <t>Maxwell</t>
  </si>
  <si>
    <t>Assistant Superintendent Academics</t>
  </si>
  <si>
    <t>emailshayla.maxwell@austinisd.org</t>
  </si>
  <si>
    <t>(512) 414-1700</t>
  </si>
  <si>
    <t>Janeth</t>
  </si>
  <si>
    <t>Medrano</t>
  </si>
  <si>
    <t>Coordinator for Secondary Multilingual Education</t>
  </si>
  <si>
    <t>(512) 414-4734</t>
  </si>
  <si>
    <t>Yvette</t>
  </si>
  <si>
    <t>Cardenas</t>
  </si>
  <si>
    <t>Executive Director Academics of Multilingual Ed</t>
  </si>
  <si>
    <t>yvette.cardenas@austinisd.org</t>
  </si>
  <si>
    <t>Tammy</t>
  </si>
  <si>
    <t>Caesar</t>
  </si>
  <si>
    <t>Director, Career and Technical Education Department</t>
  </si>
  <si>
    <t>tammy.caesar@austinisd.org</t>
  </si>
  <si>
    <t>Krystal</t>
  </si>
  <si>
    <t>Frank</t>
  </si>
  <si>
    <t>Executive Director</t>
  </si>
  <si>
    <t>krystal.frank@austinisd.org</t>
  </si>
  <si>
    <t>(512) 414-3023</t>
  </si>
  <si>
    <t>ELA LITERACY COORDINATOR</t>
  </si>
  <si>
    <t>Lilliana</t>
  </si>
  <si>
    <t>Kendrick</t>
  </si>
  <si>
    <t>Elementary Director of Humanities</t>
  </si>
  <si>
    <t>lilliana.kendrick@austinisd.org</t>
  </si>
  <si>
    <t>Patricia</t>
  </si>
  <si>
    <t>Deputy Superintendent of Teaching and Learning</t>
  </si>
  <si>
    <t>patricia.rodriguez@austinisd.org</t>
  </si>
  <si>
    <t>Theresa</t>
  </si>
  <si>
    <t>Arocha-Gill</t>
  </si>
  <si>
    <t>Executive Director Special Education</t>
  </si>
  <si>
    <t>(512) 414-7733</t>
  </si>
  <si>
    <t>Alda</t>
  </si>
  <si>
    <t>Benavides</t>
  </si>
  <si>
    <t>Interim Superintendent</t>
  </si>
  <si>
    <t>(956) 548-8000</t>
  </si>
  <si>
    <t>Beatriz</t>
  </si>
  <si>
    <t>Hernandez</t>
  </si>
  <si>
    <t>bahernandez@bisd.us</t>
  </si>
  <si>
    <t>Adrian</t>
  </si>
  <si>
    <t>Dorsett</t>
  </si>
  <si>
    <t>CTE Director</t>
  </si>
  <si>
    <t>adorsett@bisd.us</t>
  </si>
  <si>
    <t>(956) 698-1137</t>
  </si>
  <si>
    <t>Carlos</t>
  </si>
  <si>
    <t>Olvera</t>
  </si>
  <si>
    <t>Bilingual/ESL/Title III Director</t>
  </si>
  <si>
    <t>mrolvera@bisd.us</t>
  </si>
  <si>
    <t>(956) 698-0757</t>
  </si>
  <si>
    <t>David</t>
  </si>
  <si>
    <t>Vinson</t>
  </si>
  <si>
    <t>dvinson@conroeisd.net</t>
  </si>
  <si>
    <t>(936) 709-7701</t>
  </si>
  <si>
    <t>Barron</t>
  </si>
  <si>
    <t>Coordinator of Secondary Mathematics &amp; Advanced Math Initiatives</t>
  </si>
  <si>
    <t>clbarron@conroeisd.net</t>
  </si>
  <si>
    <t>(936) 709-7825</t>
  </si>
  <si>
    <t>Mark</t>
  </si>
  <si>
    <t>ELA Department Coordinator/Administration</t>
  </si>
  <si>
    <t>masmith@conroeisd.net</t>
  </si>
  <si>
    <t>(936) 709-7896</t>
  </si>
  <si>
    <t>Brittany</t>
  </si>
  <si>
    <t>Koester</t>
  </si>
  <si>
    <t>Elementary Math Coordinator (PK-6)</t>
  </si>
  <si>
    <t>bkoester@conroeisd.net</t>
  </si>
  <si>
    <t>(936) 709-7752</t>
  </si>
  <si>
    <t>Gilberto</t>
  </si>
  <si>
    <t>Lozano</t>
  </si>
  <si>
    <t>Director Bilingual &amp; ESL Programs</t>
  </si>
  <si>
    <t>glozani@conroeisd.net</t>
  </si>
  <si>
    <t>(936) 709-7839</t>
  </si>
  <si>
    <t>Hedith</t>
  </si>
  <si>
    <t>Sauceda-Upshaw</t>
  </si>
  <si>
    <t>Assistant Superintendent for Teaching &amp; Learning</t>
  </si>
  <si>
    <t>hupshaw@conroeisd.net</t>
  </si>
  <si>
    <t>(936) 709-7822</t>
  </si>
  <si>
    <t>Kendra</t>
  </si>
  <si>
    <t>Wiggins</t>
  </si>
  <si>
    <t>Executive Director of Special Education/504</t>
  </si>
  <si>
    <t>kmwiggins@conroeisd.net</t>
  </si>
  <si>
    <t>(936) 709-7813</t>
  </si>
  <si>
    <t>Douglas</t>
  </si>
  <si>
    <t>Killian</t>
  </si>
  <si>
    <t>douglas.killian@cfisd.net</t>
  </si>
  <si>
    <t>(281) 897-4077</t>
  </si>
  <si>
    <t>Glenda</t>
  </si>
  <si>
    <t>Horner</t>
  </si>
  <si>
    <t>Director for Professional Learning</t>
  </si>
  <si>
    <t>Glenda.Horner@cfisd.net</t>
  </si>
  <si>
    <t>(281) 897-4069</t>
  </si>
  <si>
    <t>Stacy</t>
  </si>
  <si>
    <t>Love</t>
  </si>
  <si>
    <t>Secondary Eng/LA Curriculum Coach</t>
  </si>
  <si>
    <t>stacy.love@cfisd.net</t>
  </si>
  <si>
    <t>Tonya</t>
  </si>
  <si>
    <t>Goree</t>
  </si>
  <si>
    <t>Chief Academic Officer / Associate Superintendent</t>
  </si>
  <si>
    <t>tonya.goree@cfisd.net</t>
  </si>
  <si>
    <t>(281) 897-4118</t>
  </si>
  <si>
    <t>Ashley</t>
  </si>
  <si>
    <t>Clayburn</t>
  </si>
  <si>
    <t>Asst. Superintendent District Improvement &amp; Accountability</t>
  </si>
  <si>
    <t>ashley.clayburn@cfisd.net</t>
  </si>
  <si>
    <t>(281) 955-4998</t>
  </si>
  <si>
    <t>Maria</t>
  </si>
  <si>
    <t>Trejo</t>
  </si>
  <si>
    <t>Director, Curriculum &amp; Instruction for Special Populations</t>
  </si>
  <si>
    <t>maria.trejo@cfisd.net</t>
  </si>
  <si>
    <t>(281) 517-6387</t>
  </si>
  <si>
    <t>Marchelle</t>
  </si>
  <si>
    <t>Peters</t>
  </si>
  <si>
    <t>Assistant Superintendent for Educational Support Services</t>
  </si>
  <si>
    <t>marchelle.peters@cfisd.net</t>
  </si>
  <si>
    <t>(281) 897-6416</t>
  </si>
  <si>
    <t>Williams</t>
  </si>
  <si>
    <t>CTE Director, Compliance &amp; Grants, AgScience, CFISD Livestock Show &amp; AFJROTC</t>
  </si>
  <si>
    <t>mark.williams@cfisd.net</t>
  </si>
  <si>
    <t>(281) 897-4036</t>
  </si>
  <si>
    <t>Laura</t>
  </si>
  <si>
    <t>Adams</t>
  </si>
  <si>
    <t>Elementary Math Coordinator</t>
  </si>
  <si>
    <t>laura.adams@cfisd.net</t>
  </si>
  <si>
    <t>(281) 517-6386</t>
  </si>
  <si>
    <t>Kenya</t>
  </si>
  <si>
    <t>Turner</t>
  </si>
  <si>
    <t>Assistant Superintendent, Curriculum and Instruction, High School</t>
  </si>
  <si>
    <t>(281) 807-8953</t>
  </si>
  <si>
    <t>Aaron</t>
  </si>
  <si>
    <t>Daffern</t>
  </si>
  <si>
    <t>Mathematics Director</t>
  </si>
  <si>
    <t>(972) 925-8932</t>
  </si>
  <si>
    <t>Julie</t>
  </si>
  <si>
    <t>Fore</t>
  </si>
  <si>
    <t>Elementary Math Coordinator PreKindergarten</t>
  </si>
  <si>
    <t>jfore@dallasisd.org</t>
  </si>
  <si>
    <t>Doug</t>
  </si>
  <si>
    <t>Director of Reading Language Arts</t>
  </si>
  <si>
    <t>dfrank@dallasisd.org</t>
  </si>
  <si>
    <t>(972) 925-3700</t>
  </si>
  <si>
    <t>Keisha</t>
  </si>
  <si>
    <t>Wilkerson</t>
  </si>
  <si>
    <t>Mathematics Coordinator</t>
  </si>
  <si>
    <t>keiwilkerson@dallasisd.org</t>
  </si>
  <si>
    <t>Charissa</t>
  </si>
  <si>
    <t>Govan</t>
  </si>
  <si>
    <t>Executive Director of Professional &amp; Digital Learning</t>
  </si>
  <si>
    <t>chagovan@dallasisd.org</t>
  </si>
  <si>
    <t>(972) 925-8804</t>
  </si>
  <si>
    <t>Edgardo</t>
  </si>
  <si>
    <t>Carreon</t>
  </si>
  <si>
    <t>Secondary Math Coordinator Algebra I</t>
  </si>
  <si>
    <t>ecarreon-gonzalez@dallasisd.org</t>
  </si>
  <si>
    <t>Cheryl</t>
  </si>
  <si>
    <t>Nevels</t>
  </si>
  <si>
    <t>Deputy Chief College Readiness</t>
  </si>
  <si>
    <t>cnevels@dallasisd.org</t>
  </si>
  <si>
    <t>(972) 925-8900</t>
  </si>
  <si>
    <t>Angie</t>
  </si>
  <si>
    <t>Gaylord</t>
  </si>
  <si>
    <t>agaylord@dallasisd.org</t>
  </si>
  <si>
    <t>Kay</t>
  </si>
  <si>
    <t>Wilcots</t>
  </si>
  <si>
    <t>Executive Director Special Education Services</t>
  </si>
  <si>
    <t>kwilcots@dallasisd.org</t>
  </si>
  <si>
    <t>(972) 581-4662</t>
  </si>
  <si>
    <t>Amanda</t>
  </si>
  <si>
    <t>Clymer</t>
  </si>
  <si>
    <t>Executive Director Dual Language ESL</t>
  </si>
  <si>
    <t>bilingualesl@dallasisd.org</t>
  </si>
  <si>
    <t>(972) 925-6490</t>
  </si>
  <si>
    <t>Janel</t>
  </si>
  <si>
    <t>Humphries</t>
  </si>
  <si>
    <t>Director, Career and Technical Education</t>
  </si>
  <si>
    <t>JHumphries@dallasisd.org</t>
  </si>
  <si>
    <t>Charlenta</t>
  </si>
  <si>
    <t>Director, Assessment</t>
  </si>
  <si>
    <t>ChGovan@dallasisd.org</t>
  </si>
  <si>
    <t>(972) 925-6446</t>
  </si>
  <si>
    <t>Huitt-Powell</t>
  </si>
  <si>
    <t>Chief of School Leadership</t>
  </si>
  <si>
    <t>tihutt-powell@dallasisd.org</t>
  </si>
  <si>
    <t>Roshonda</t>
  </si>
  <si>
    <t>Clayton-Brown</t>
  </si>
  <si>
    <t>Assistant Superintendent</t>
  </si>
  <si>
    <t>Gina</t>
  </si>
  <si>
    <t>Anderson</t>
  </si>
  <si>
    <t>Secondary Math Coordinator</t>
  </si>
  <si>
    <t>(940) 369-0661</t>
  </si>
  <si>
    <t>Katie</t>
  </si>
  <si>
    <t>Payne</t>
  </si>
  <si>
    <t>Elementary Language Arts Coordinator</t>
  </si>
  <si>
    <t>kpayne2@dentonisd.org</t>
  </si>
  <si>
    <t>(940) 369-3740</t>
  </si>
  <si>
    <t>Susannah</t>
  </si>
  <si>
    <t>O'Bara</t>
  </si>
  <si>
    <t>superintendent@dentonisd.org</t>
  </si>
  <si>
    <t>(940) 369-0000</t>
  </si>
  <si>
    <t>Jennifer</t>
  </si>
  <si>
    <t>Davis</t>
  </si>
  <si>
    <t>jhood@dentonisd.org</t>
  </si>
  <si>
    <t>(940) 369-0900</t>
  </si>
  <si>
    <t>Lisa</t>
  </si>
  <si>
    <t>Thibodeaux</t>
  </si>
  <si>
    <t>Director of Secondary Curriculum, Instruction and Staff Development</t>
  </si>
  <si>
    <t>lthibodeaux@dentonisd.org</t>
  </si>
  <si>
    <t>OBara</t>
  </si>
  <si>
    <t>sobara@dentonisd.org</t>
  </si>
  <si>
    <t>Lacey</t>
  </si>
  <si>
    <t>Rainey</t>
  </si>
  <si>
    <t>Assistant Superintendent of School Leadership &amp; Academic Programs</t>
  </si>
  <si>
    <t>lrainey@dentonisd.org</t>
  </si>
  <si>
    <t>Carla</t>
  </si>
  <si>
    <t>Ruge-Fritz</t>
  </si>
  <si>
    <t>cruge@dentonisd.org</t>
  </si>
  <si>
    <t>(940) 369-0452</t>
  </si>
  <si>
    <t>Stacie</t>
  </si>
  <si>
    <t>Bonner</t>
  </si>
  <si>
    <t>abonner@dentonisd.org</t>
  </si>
  <si>
    <t>(940) 369-0480</t>
  </si>
  <si>
    <t>Marta</t>
  </si>
  <si>
    <t>Carmona</t>
  </si>
  <si>
    <t>Deputy Superintendent Academics</t>
  </si>
  <si>
    <t>mccarmon@episd.org</t>
  </si>
  <si>
    <t>(915) 230-2000</t>
  </si>
  <si>
    <t>Brian</t>
  </si>
  <si>
    <t>Lusk</t>
  </si>
  <si>
    <t>blusk@episd.org</t>
  </si>
  <si>
    <t>Julio</t>
  </si>
  <si>
    <t>Escajeda</t>
  </si>
  <si>
    <t>Coordinator Math Intervention</t>
  </si>
  <si>
    <t>jjescaje@episd.org</t>
  </si>
  <si>
    <t>(915) 230-2348</t>
  </si>
  <si>
    <t>Adalberto</t>
  </si>
  <si>
    <t>Garcia</t>
  </si>
  <si>
    <t>agarci2@episd.org</t>
  </si>
  <si>
    <t>(915) 230-2217</t>
  </si>
  <si>
    <t>Sandra</t>
  </si>
  <si>
    <t>Calzada</t>
  </si>
  <si>
    <t>Director, Leadership &amp; Talent Development</t>
  </si>
  <si>
    <t>scalzada@episd.org</t>
  </si>
  <si>
    <t>(915) 230-2344</t>
  </si>
  <si>
    <t>Guy</t>
  </si>
  <si>
    <t>Rosales</t>
  </si>
  <si>
    <t>Assistant Superintendent Teaching and Learning / Executive Director, Teaching and Learning</t>
  </si>
  <si>
    <t>gprosale@episd.org</t>
  </si>
  <si>
    <t>(915) 230-2387</t>
  </si>
  <si>
    <t>Fernando</t>
  </si>
  <si>
    <t>Marquez</t>
  </si>
  <si>
    <t>Director, Career &amp; Technical Education</t>
  </si>
  <si>
    <t>fmarque1@episd.org</t>
  </si>
  <si>
    <t>(915) 230-2241</t>
  </si>
  <si>
    <t>Michelle</t>
  </si>
  <si>
    <t>Casillas</t>
  </si>
  <si>
    <t>Assistant Superintendent, Elementary</t>
  </si>
  <si>
    <t>mcasill1@episd.org</t>
  </si>
  <si>
    <t>(915) 230-2216</t>
  </si>
  <si>
    <t>Phillip</t>
  </si>
  <si>
    <t>Hash</t>
  </si>
  <si>
    <t>Literacy Director</t>
  </si>
  <si>
    <t>pmhash@episd.org</t>
  </si>
  <si>
    <t>(915) 230-4324</t>
  </si>
  <si>
    <t>Jason</t>
  </si>
  <si>
    <t>Long</t>
  </si>
  <si>
    <t>Executive Director, College &amp; Career Readiness Innovation</t>
  </si>
  <si>
    <t>jjlong@episd.org</t>
  </si>
  <si>
    <t>(915) 230-2335</t>
  </si>
  <si>
    <t>Erika</t>
  </si>
  <si>
    <t>Ramos</t>
  </si>
  <si>
    <t>Director Curriculum and Intervention</t>
  </si>
  <si>
    <t>eramos12@episd.org</t>
  </si>
  <si>
    <t>(915) 230-2677</t>
  </si>
  <si>
    <t>Jeremy</t>
  </si>
  <si>
    <t>Sapp</t>
  </si>
  <si>
    <t>Assistant Director of Professional Learning Systems</t>
  </si>
  <si>
    <t>Jeremy.Sapp@fortbendisd.gov</t>
  </si>
  <si>
    <t>(281) 634-1000</t>
  </si>
  <si>
    <t>Kathy</t>
  </si>
  <si>
    <t>Riley</t>
  </si>
  <si>
    <t>Mathematics Coordinator (Elem.)</t>
  </si>
  <si>
    <t>Adam</t>
  </si>
  <si>
    <t>Stephens</t>
  </si>
  <si>
    <t>Adam.Stephens@fortbendisd.gov</t>
  </si>
  <si>
    <t>Melissa</t>
  </si>
  <si>
    <t>Hubbard</t>
  </si>
  <si>
    <t>Assistant Superintendent T&amp;L</t>
  </si>
  <si>
    <t>melissa.hubbard@fortbendisd.com</t>
  </si>
  <si>
    <t>(281) 634-4300</t>
  </si>
  <si>
    <t>Dahria</t>
  </si>
  <si>
    <t>Driskell</t>
  </si>
  <si>
    <t>(281) 634-1143</t>
  </si>
  <si>
    <t>Jaretha</t>
  </si>
  <si>
    <t>Jordan</t>
  </si>
  <si>
    <t>jaretha.jordan@fortbendisd.com</t>
  </si>
  <si>
    <t>Peter</t>
  </si>
  <si>
    <t>Licata</t>
  </si>
  <si>
    <t>superintendent@fwisd.org</t>
  </si>
  <si>
    <t>(817) 814-1950</t>
  </si>
  <si>
    <t>Luz</t>
  </si>
  <si>
    <t>Ruiz</t>
  </si>
  <si>
    <t>luz.ruiz@fwisd.org</t>
  </si>
  <si>
    <t>(817) 814-2540</t>
  </si>
  <si>
    <t>Barnett</t>
  </si>
  <si>
    <t>tracy.barnett@fwisd.org</t>
  </si>
  <si>
    <t>Katrena</t>
  </si>
  <si>
    <t>Booth</t>
  </si>
  <si>
    <t>Coordinator (Elementary Literacy)</t>
  </si>
  <si>
    <t>katrena.booth@fwisd.org</t>
  </si>
  <si>
    <t>(817) 814-2508</t>
  </si>
  <si>
    <t>Karen</t>
  </si>
  <si>
    <t>Calvert Molinar</t>
  </si>
  <si>
    <t>karen.molinar@fwisd.org</t>
  </si>
  <si>
    <t>(817) 814-2000</t>
  </si>
  <si>
    <t>Lowanna</t>
  </si>
  <si>
    <t>Jones</t>
  </si>
  <si>
    <t>lowanna.jones@fwisd.org</t>
  </si>
  <si>
    <t>(817) 814-2548</t>
  </si>
  <si>
    <t>Fitzpatrick</t>
  </si>
  <si>
    <t>Director, Professional and Innovative Learning</t>
  </si>
  <si>
    <t>amanda.fitzpatrick@fwisd.org</t>
  </si>
  <si>
    <t>(817) 814-3403</t>
  </si>
  <si>
    <t>Mohammed</t>
  </si>
  <si>
    <t>Choudhury</t>
  </si>
  <si>
    <t>Deputy Superintendent Curriculum and Instruction</t>
  </si>
  <si>
    <t>mohammed.choudhury@fwisd.org</t>
  </si>
  <si>
    <t>Kim</t>
  </si>
  <si>
    <t>Axtell</t>
  </si>
  <si>
    <t>Director - Mathematics</t>
  </si>
  <si>
    <t>Kim.Axtell@fwisd.org</t>
  </si>
  <si>
    <t>Nancy</t>
  </si>
  <si>
    <t>Sticksel</t>
  </si>
  <si>
    <t>Associate Superintendent Transformation, Innovation, and Accountability</t>
  </si>
  <si>
    <t>nancy.sticksel@fwisd.org</t>
  </si>
  <si>
    <t>(817) 814-1601</t>
  </si>
  <si>
    <t>Robert</t>
  </si>
  <si>
    <t>Wright</t>
  </si>
  <si>
    <t>Director CTE</t>
  </si>
  <si>
    <t>robert.wright@fwisd.org</t>
  </si>
  <si>
    <t>(817) 814-1530</t>
  </si>
  <si>
    <t>Diane</t>
  </si>
  <si>
    <t>Lopez-Martinez</t>
  </si>
  <si>
    <t>Executive Director of Professional and Innovative Learning</t>
  </si>
  <si>
    <t>diane.lopez-martinez@fwisd.org</t>
  </si>
  <si>
    <t>(817) 814-3400</t>
  </si>
  <si>
    <t>Kimberly</t>
  </si>
  <si>
    <t>kimberly.axtell@fwisd.org</t>
  </si>
  <si>
    <t>Castillo</t>
  </si>
  <si>
    <t>Executive Director of CCMR and Enrichment</t>
  </si>
  <si>
    <t>lisa.castillo@fwisd.org</t>
  </si>
  <si>
    <t>FRISCO ISD</t>
  </si>
  <si>
    <t>Natevidad</t>
  </si>
  <si>
    <t>Casas</t>
  </si>
  <si>
    <t>Secondary Coordinator for Math</t>
  </si>
  <si>
    <t>casasn@friscoisd.org</t>
  </si>
  <si>
    <t>(469) 633-6830</t>
  </si>
  <si>
    <t>Mike</t>
  </si>
  <si>
    <t>Waldrip</t>
  </si>
  <si>
    <t>mikewaldrip@friscoisd.org</t>
  </si>
  <si>
    <t>Christy</t>
  </si>
  <si>
    <t>Fiori</t>
  </si>
  <si>
    <t>fioric@friscoisd.org</t>
  </si>
  <si>
    <t>(469) 633-6000</t>
  </si>
  <si>
    <t>Morales</t>
  </si>
  <si>
    <t>English as a Second Language (ESL) Coordinator</t>
  </si>
  <si>
    <t>moralesLi@friscoisd.org</t>
  </si>
  <si>
    <t>(469) 633-6873</t>
  </si>
  <si>
    <t>Kelly</t>
  </si>
  <si>
    <t>Cutler</t>
  </si>
  <si>
    <t>Bilingual/Dual Language Coordinator</t>
  </si>
  <si>
    <t>cutlerk@friscoisd.org</t>
  </si>
  <si>
    <t>(469) 633-6841</t>
  </si>
  <si>
    <t>Ricardo</t>
  </si>
  <si>
    <t>López</t>
  </si>
  <si>
    <t>A701@garlandisd.net</t>
  </si>
  <si>
    <t>(972) 494-8201</t>
  </si>
  <si>
    <t>Nathan</t>
  </si>
  <si>
    <t>Yujiri</t>
  </si>
  <si>
    <t>Coordinator Math-Secondary</t>
  </si>
  <si>
    <t>A883@garlandisd.net</t>
  </si>
  <si>
    <t>(972) 487-3990</t>
  </si>
  <si>
    <t>Elizabeth</t>
  </si>
  <si>
    <t>Johnson</t>
  </si>
  <si>
    <t>Coordinator Math - Middle School</t>
  </si>
  <si>
    <t>EAJohnso@garlandisd.net</t>
  </si>
  <si>
    <t>JMAdam2@garlandisd.net</t>
  </si>
  <si>
    <t>(972) 487-3151</t>
  </si>
  <si>
    <t>Michael</t>
  </si>
  <si>
    <t>Arreola</t>
  </si>
  <si>
    <t>Director of Secondary Math and Science</t>
  </si>
  <si>
    <t>marreola@garlandisd.net</t>
  </si>
  <si>
    <t>Coleman</t>
  </si>
  <si>
    <t>Bruman</t>
  </si>
  <si>
    <t>Executive Director of Secondary Teaching &amp; Learning</t>
  </si>
  <si>
    <t>F.</t>
  </si>
  <si>
    <t>Miles</t>
  </si>
  <si>
    <t>miles@houstonisd.org</t>
  </si>
  <si>
    <t>(713) 556-6005</t>
  </si>
  <si>
    <t>Mike Miles</t>
  </si>
  <si>
    <t>Sandi</t>
  </si>
  <si>
    <t>Massey</t>
  </si>
  <si>
    <t>Chief of Leadership &amp; Professional Development</t>
  </si>
  <si>
    <t>SANDI.MASSEY@houstonisd.org</t>
  </si>
  <si>
    <t>(713) 556-2990</t>
  </si>
  <si>
    <t>Daniel</t>
  </si>
  <si>
    <t>Gray</t>
  </si>
  <si>
    <t>Deputy Chief for College, Career, and Military Readiness</t>
  </si>
  <si>
    <t>Daniel.Gray@houstonisd.org</t>
  </si>
  <si>
    <t>(713) 556-6981</t>
  </si>
  <si>
    <t>Nalsy</t>
  </si>
  <si>
    <t>Perez</t>
  </si>
  <si>
    <t>NPEREZ@houstonisd.org</t>
  </si>
  <si>
    <t>(713) 556-3010</t>
  </si>
  <si>
    <t>Sonya</t>
  </si>
  <si>
    <t>Monreal</t>
  </si>
  <si>
    <t>Executive Director, English as a Second Language (ESL) / Multilingual Programs</t>
  </si>
  <si>
    <t>SONYA.MONREAL@houstonisd.org</t>
  </si>
  <si>
    <t>(713) 556-6961</t>
  </si>
  <si>
    <t>Carolina</t>
  </si>
  <si>
    <t>Moore</t>
  </si>
  <si>
    <t>Elementary Director, Reading and Language Arts</t>
  </si>
  <si>
    <t>carolina.moore@houstonisd.org</t>
  </si>
  <si>
    <t>(713) 556-6823</t>
  </si>
  <si>
    <t>Kristen</t>
  </si>
  <si>
    <t>Hole</t>
  </si>
  <si>
    <t>kristen.hole@houstonisd.org</t>
  </si>
  <si>
    <t>(713) 556-6024</t>
  </si>
  <si>
    <t>Monica</t>
  </si>
  <si>
    <t>Sloan</t>
  </si>
  <si>
    <t>Executive Director of Career and Technical Education (CTE)</t>
  </si>
  <si>
    <t>Monica.Sloan@houstonisd.org</t>
  </si>
  <si>
    <t>(713) 556-7474</t>
  </si>
  <si>
    <t>Kaire</t>
  </si>
  <si>
    <t>Hopson Onajobi</t>
  </si>
  <si>
    <t>KAIRE.HOPSONONAJOBI@houstonisd.org</t>
  </si>
  <si>
    <t>Katrina</t>
  </si>
  <si>
    <t>Cushenberry</t>
  </si>
  <si>
    <t>Director, Secondary Mathematics</t>
  </si>
  <si>
    <t>kcushenb@houstonisd.org</t>
  </si>
  <si>
    <t>(713) 556-7133</t>
  </si>
  <si>
    <t>Winston</t>
  </si>
  <si>
    <t>Chambers</t>
  </si>
  <si>
    <t>Special Education Director</t>
  </si>
  <si>
    <t>wchamber@houstonisd.org</t>
  </si>
  <si>
    <t>(713) 556-7025</t>
  </si>
  <si>
    <t>Jeffrey</t>
  </si>
  <si>
    <t>Cottrill</t>
  </si>
  <si>
    <t>CEO and Superintendent</t>
  </si>
  <si>
    <t>jeffrey.cottrill@ideapublicschools.org</t>
  </si>
  <si>
    <t>Vidal</t>
  </si>
  <si>
    <t>Sr. Math Curriculum Manager</t>
  </si>
  <si>
    <t>tania.hernandez@ideapublicschools.org</t>
  </si>
  <si>
    <t>Colleen</t>
  </si>
  <si>
    <t>Stearns</t>
  </si>
  <si>
    <t>Colleen.Stearns@ideapublicschools.org</t>
  </si>
  <si>
    <t>(956) 377-8000</t>
  </si>
  <si>
    <t>Franco</t>
  </si>
  <si>
    <t>Senior Vice President of Academics</t>
  </si>
  <si>
    <t>michael.franco@ideapublicschools.org</t>
  </si>
  <si>
    <t>(833) 380-1041</t>
  </si>
  <si>
    <t>Olga</t>
  </si>
  <si>
    <t>Romero</t>
  </si>
  <si>
    <t>(972) 600-5000</t>
  </si>
  <si>
    <t>Magda</t>
  </si>
  <si>
    <t>Superintendent of School</t>
  </si>
  <si>
    <t>mhernandez@irvingisd.net</t>
  </si>
  <si>
    <t>Cruz Rodriguez</t>
  </si>
  <si>
    <t>Senior EL Programs Lead</t>
  </si>
  <si>
    <t>szavalagarcia@irvingisd.net</t>
  </si>
  <si>
    <t>(972) 600-5252</t>
  </si>
  <si>
    <t>Hernández</t>
  </si>
  <si>
    <t>email@irvingisdnet.finalsite.com</t>
  </si>
  <si>
    <t>Ken</t>
  </si>
  <si>
    <t>Gregorski</t>
  </si>
  <si>
    <t>(281) 237-7100</t>
  </si>
  <si>
    <t>Bradley</t>
  </si>
  <si>
    <t>English Language Arts/Reading - ELAR Coordinator</t>
  </si>
  <si>
    <t>(281) 396-7680</t>
  </si>
  <si>
    <t>Heather</t>
  </si>
  <si>
    <t>Gower</t>
  </si>
  <si>
    <t>Math Coordinator</t>
  </si>
  <si>
    <t>HeatherGower@Katyisd.org</t>
  </si>
  <si>
    <t>(281) 396-2071</t>
  </si>
  <si>
    <t>Nicole</t>
  </si>
  <si>
    <t>Zwahr</t>
  </si>
  <si>
    <t>Director, Professional Learning</t>
  </si>
  <si>
    <t>nicoleczwahr@Katyisd.org</t>
  </si>
  <si>
    <t>(281) 396-2117</t>
  </si>
  <si>
    <t>Ann</t>
  </si>
  <si>
    <t>Knight</t>
  </si>
  <si>
    <t>AnnKnight@katyisd.org</t>
  </si>
  <si>
    <t>(281) 396-2366</t>
  </si>
  <si>
    <t>Babin</t>
  </si>
  <si>
    <t>(281) 237-7060</t>
  </si>
  <si>
    <t>Celeste</t>
  </si>
  <si>
    <t>Ferranti</t>
  </si>
  <si>
    <t>CelesteFerranti@katyisd.org</t>
  </si>
  <si>
    <t>(281) 396-2067</t>
  </si>
  <si>
    <t>Kenneth</t>
  </si>
  <si>
    <t>kennethgregorski@katyisd.org</t>
  </si>
  <si>
    <t>(281) 396-6000</t>
  </si>
  <si>
    <t>Alicia</t>
  </si>
  <si>
    <t>Bates</t>
  </si>
  <si>
    <t>Director of Secondary Curriculum and Instruction</t>
  </si>
  <si>
    <t>AliciaBates@Katyisd.org</t>
  </si>
  <si>
    <t>(281) 396-2265</t>
  </si>
  <si>
    <t>Sanée</t>
  </si>
  <si>
    <t>Bell</t>
  </si>
  <si>
    <t>(281) 396-2315</t>
  </si>
  <si>
    <t>Gwen</t>
  </si>
  <si>
    <t>Coffey</t>
  </si>
  <si>
    <t>Assistant Superintendent for Special Education</t>
  </si>
  <si>
    <t>gwendolynfcoffey@katyisd.org</t>
  </si>
  <si>
    <t>(281) 396-2647</t>
  </si>
  <si>
    <t>Rachel</t>
  </si>
  <si>
    <t>Rice</t>
  </si>
  <si>
    <t>Coordinator for Secondary Mathematics</t>
  </si>
  <si>
    <t>rachel.rice@katyisd.org</t>
  </si>
  <si>
    <t>(281) 396-2313</t>
  </si>
  <si>
    <t>Jenny</t>
  </si>
  <si>
    <t>McGown</t>
  </si>
  <si>
    <t>superintendent@kleinisd.net</t>
  </si>
  <si>
    <t>(832) 249-4000</t>
  </si>
  <si>
    <t>Deborah</t>
  </si>
  <si>
    <t>Bronner-Westerduin</t>
  </si>
  <si>
    <t>(832) 249-4375</t>
  </si>
  <si>
    <t>Anthony</t>
  </si>
  <si>
    <t>Indelicato</t>
  </si>
  <si>
    <t>(832) 249-4241</t>
  </si>
  <si>
    <t>Vergara</t>
  </si>
  <si>
    <t>Director, Multilingual</t>
  </si>
  <si>
    <t>multilingual@kleinisd.net</t>
  </si>
  <si>
    <t>(832) 249-4348</t>
  </si>
  <si>
    <t>Kindsfather</t>
  </si>
  <si>
    <t>Assistant Superintendent - Teaching &amp; Learning</t>
  </si>
  <si>
    <t>(832) 249-4319</t>
  </si>
  <si>
    <t>Assistant Superintendent - Student Performance</t>
  </si>
  <si>
    <t>kturner@kleinisd.net</t>
  </si>
  <si>
    <t>(832) 249-4561</t>
  </si>
  <si>
    <t>Roosevelt</t>
  </si>
  <si>
    <t>Nivens</t>
  </si>
  <si>
    <t>info@lcisd.org</t>
  </si>
  <si>
    <t>Gage</t>
  </si>
  <si>
    <t>Elementary ELAR Coordinator</t>
  </si>
  <si>
    <t>theresa.gage@lcisd.org</t>
  </si>
  <si>
    <t>(832) 223-0146</t>
  </si>
  <si>
    <t>Lori</t>
  </si>
  <si>
    <t>Buhner</t>
  </si>
  <si>
    <t>(832) 223-0390</t>
  </si>
  <si>
    <t>Cottongame</t>
  </si>
  <si>
    <t>Chief Learning Officer</t>
  </si>
  <si>
    <t>(832) 223-0130</t>
  </si>
  <si>
    <t>Kayse</t>
  </si>
  <si>
    <t>Lazar</t>
  </si>
  <si>
    <t>Executive Director, CTE &amp; Career Readiness</t>
  </si>
  <si>
    <t>kayse.lazar@lcisd.org</t>
  </si>
  <si>
    <t>(832) 223-0128</t>
  </si>
  <si>
    <t>LAREDO ISD</t>
  </si>
  <si>
    <t>Carmen</t>
  </si>
  <si>
    <t>Pompa</t>
  </si>
  <si>
    <t>Director of the Bilingual/ESL Department</t>
  </si>
  <si>
    <t>cpompa@laredoisd.org</t>
  </si>
  <si>
    <t>(956) 273-1000</t>
  </si>
  <si>
    <t>Rogelio</t>
  </si>
  <si>
    <t>Assistant Superintendent for Curriculum, Instruction, and Assessment</t>
  </si>
  <si>
    <t>roggarcia@laredoisd.org</t>
  </si>
  <si>
    <t>Cassandra</t>
  </si>
  <si>
    <t>Mendoza</t>
  </si>
  <si>
    <t>Executive Director for Secondary Education</t>
  </si>
  <si>
    <t>cmendoza@laredoisd.org</t>
  </si>
  <si>
    <t>(956) 273-1745</t>
  </si>
  <si>
    <t>Calles</t>
  </si>
  <si>
    <t>Executive Director for CCMR, Advanced Academics, &amp; Schools of Innovation</t>
  </si>
  <si>
    <t>mcalles@laredoisd.org</t>
  </si>
  <si>
    <t>(956) 273-1845</t>
  </si>
  <si>
    <t>Roxanna</t>
  </si>
  <si>
    <t>Davila</t>
  </si>
  <si>
    <t>Elementary Mathematics Dean</t>
  </si>
  <si>
    <t>rdavila110@laredoisd.org</t>
  </si>
  <si>
    <t>(956) 273-1852</t>
  </si>
  <si>
    <t>Guillermo</t>
  </si>
  <si>
    <t>Pro</t>
  </si>
  <si>
    <t>gpro@laredoisd.org</t>
  </si>
  <si>
    <t>Noemi</t>
  </si>
  <si>
    <t>Coordinator, Professional Growth &amp; Leadership Development</t>
  </si>
  <si>
    <t>ngarcia2001@laredoisd.org</t>
  </si>
  <si>
    <t>(956) 273-1712</t>
  </si>
  <si>
    <t>District Leadership Development Director</t>
  </si>
  <si>
    <t>Segarcia@laredoisd.org</t>
  </si>
  <si>
    <t>Cynthia</t>
  </si>
  <si>
    <t>Cruz</t>
  </si>
  <si>
    <t>Bilingual/ESL Director</t>
  </si>
  <si>
    <t>ccruz@laredoisd.org</t>
  </si>
  <si>
    <t>(956) 273-1821</t>
  </si>
  <si>
    <t>Gerardo</t>
  </si>
  <si>
    <t>Associate Superintendent for Curriculum, Instruction, &amp; Assessment</t>
  </si>
  <si>
    <t>gcruz@laredoisd.org</t>
  </si>
  <si>
    <t>(956) 273-1400</t>
  </si>
  <si>
    <t>MCALLEN ISD</t>
  </si>
  <si>
    <t>Leo</t>
  </si>
  <si>
    <t>Saenz</t>
  </si>
  <si>
    <t>Career Technical Education Director</t>
  </si>
  <si>
    <t>Leo.Saenz@mcallenisd.net</t>
  </si>
  <si>
    <t>(956) 632-5181</t>
  </si>
  <si>
    <t>Lynda</t>
  </si>
  <si>
    <t>Farias</t>
  </si>
  <si>
    <t>Coordinator for Math-Secondary (COORD MATH-SEC)</t>
  </si>
  <si>
    <t>Lynda.Farias@mcallenisd.net</t>
  </si>
  <si>
    <t>(956) 618-6000</t>
  </si>
  <si>
    <t>René</t>
  </si>
  <si>
    <t>Gutiérrez</t>
  </si>
  <si>
    <t>Rene.Gutierrez@mcallenisd.net</t>
  </si>
  <si>
    <t>(956) 657-6027</t>
  </si>
  <si>
    <t>Jeanette</t>
  </si>
  <si>
    <t>Nino</t>
  </si>
  <si>
    <t>Associate Superintendent for Instructional Leadership</t>
  </si>
  <si>
    <t>jeanette.nino@mcallenisd.net</t>
  </si>
  <si>
    <t>(956) 618-6053</t>
  </si>
  <si>
    <t>Jarrett</t>
  </si>
  <si>
    <t>Chief Instructional Officer</t>
  </si>
  <si>
    <t>ajarre@neisd.net</t>
  </si>
  <si>
    <t>(210) 407-0541</t>
  </si>
  <si>
    <t>NULL</t>
  </si>
  <si>
    <t>Assistant Director - Math Secondary</t>
  </si>
  <si>
    <t>(210) 407-0000</t>
  </si>
  <si>
    <t>Sarah</t>
  </si>
  <si>
    <t>Acosta</t>
  </si>
  <si>
    <t>ELAR Instructional Specialist - ELAR Secondary</t>
  </si>
  <si>
    <t>Shauna</t>
  </si>
  <si>
    <t>Abrego</t>
  </si>
  <si>
    <t>Director, Special Ed, Secondary, Curr &amp; Instr - SPED</t>
  </si>
  <si>
    <t>Catherine</t>
  </si>
  <si>
    <t>Hinojosa</t>
  </si>
  <si>
    <t>Director, Professional Learning - Curriculum &amp; Instruction</t>
  </si>
  <si>
    <t>Calderon</t>
  </si>
  <si>
    <t>Senior Director, Bilingual/ESL Program</t>
  </si>
  <si>
    <t>(210) 407-0054</t>
  </si>
  <si>
    <t>Gutierrez</t>
  </si>
  <si>
    <t>Executive Director of Elementary Curriculum and Instruction</t>
  </si>
  <si>
    <t>jguter@neisd.net</t>
  </si>
  <si>
    <t>(210) 407-0182</t>
  </si>
  <si>
    <t>Vanessa</t>
  </si>
  <si>
    <t>Kosar</t>
  </si>
  <si>
    <t>Executive Director - Special Ed</t>
  </si>
  <si>
    <t>vshowm@neisd.net</t>
  </si>
  <si>
    <t>(210) 407-0185</t>
  </si>
  <si>
    <t>Alvarez-Calderon</t>
  </si>
  <si>
    <t>Senior Director - Bil/ESL Programs</t>
  </si>
  <si>
    <t>alicia.alvarez-calderon@neisd.net</t>
  </si>
  <si>
    <t>Ravae</t>
  </si>
  <si>
    <t>Shaeffer</t>
  </si>
  <si>
    <t>Executive Director, Secondary - Curriculum &amp; Instruction</t>
  </si>
  <si>
    <t>rshaeffer@neisd.net</t>
  </si>
  <si>
    <t>Steinert</t>
  </si>
  <si>
    <t>Senior Director - Career &amp; Tech Ed</t>
  </si>
  <si>
    <t>pstein@neisd.net</t>
  </si>
  <si>
    <t>(210) 407-0181</t>
  </si>
  <si>
    <t>Diana</t>
  </si>
  <si>
    <t>Ely</t>
  </si>
  <si>
    <t>Executive Director of Teaching and Learning</t>
  </si>
  <si>
    <t>diana.ely@nisd.net</t>
  </si>
  <si>
    <t>(210) 397-8500</t>
  </si>
  <si>
    <t>Janis</t>
  </si>
  <si>
    <t>Deputy Superintendent for Curriculum and Instruction</t>
  </si>
  <si>
    <t>Ericka</t>
  </si>
  <si>
    <t>Dillon</t>
  </si>
  <si>
    <t>Bilingual &amp; ESL Department Director</t>
  </si>
  <si>
    <t>ericka.dillon@nisd.net</t>
  </si>
  <si>
    <t>(210) 397-8173</t>
  </si>
  <si>
    <t>Veronica</t>
  </si>
  <si>
    <t>Mechler</t>
  </si>
  <si>
    <t>veronica.mechler@nisd.net</t>
  </si>
  <si>
    <t>(210) 397-8740</t>
  </si>
  <si>
    <t>Traci</t>
  </si>
  <si>
    <t>Goodwin</t>
  </si>
  <si>
    <t>Executive Director of Professional Development and Events</t>
  </si>
  <si>
    <t>tgoodwin@pasadenaisd.org</t>
  </si>
  <si>
    <t>(713) 740-5298</t>
  </si>
  <si>
    <t>Leach</t>
  </si>
  <si>
    <t>Coordinator, K-12 Reading Language Arts</t>
  </si>
  <si>
    <t>cleach@pasadenaisd.org</t>
  </si>
  <si>
    <t>(713) 740-0000</t>
  </si>
  <si>
    <t>Sondra</t>
  </si>
  <si>
    <t>Cano</t>
  </si>
  <si>
    <t>Coordinator, K12 Mathematics</t>
  </si>
  <si>
    <t>scano@pasadenaisd.org</t>
  </si>
  <si>
    <t>Toni</t>
  </si>
  <si>
    <t>Lopez</t>
  </si>
  <si>
    <t>tlopez@pasadenaisd.org</t>
  </si>
  <si>
    <t>Powell</t>
  </si>
  <si>
    <t>Executive Director, Curriculum, Instruction, &amp; Innovation</t>
  </si>
  <si>
    <t>tpowell@pasadenaisd.org</t>
  </si>
  <si>
    <t>Becky</t>
  </si>
  <si>
    <t>Benner</t>
  </si>
  <si>
    <t>Executive Director, Curriculum &amp; Instruction</t>
  </si>
  <si>
    <t>rbenner@pasadenaisd.org</t>
  </si>
  <si>
    <t>(713) 740-0969</t>
  </si>
  <si>
    <t>Tanya</t>
  </si>
  <si>
    <t>Hagar</t>
  </si>
  <si>
    <t>Executive Director, Career &amp; Technical Education</t>
  </si>
  <si>
    <t>thagar@pasadenaisd.org</t>
  </si>
  <si>
    <t>(713) 740-0802</t>
  </si>
  <si>
    <t>LeBleu</t>
  </si>
  <si>
    <t>mlebleu@pasadenaisd.org</t>
  </si>
  <si>
    <t>(713) 740-0220</t>
  </si>
  <si>
    <t>Craig</t>
  </si>
  <si>
    <t>McKinney</t>
  </si>
  <si>
    <t>Director Professional Learning</t>
  </si>
  <si>
    <t>Craig.McKinney@pisd.edu</t>
  </si>
  <si>
    <t>(469) 752-8100</t>
  </si>
  <si>
    <t>Beachy</t>
  </si>
  <si>
    <t>Coordinator Elementary Reading</t>
  </si>
  <si>
    <t>rachel.beachy@pisd.edu</t>
  </si>
  <si>
    <t>Ginger</t>
  </si>
  <si>
    <t>Teaff</t>
  </si>
  <si>
    <t>Coordinator Elem Math</t>
  </si>
  <si>
    <t>theresa.williams@pisd.edu</t>
  </si>
  <si>
    <t>Karyn</t>
  </si>
  <si>
    <t>Crowe</t>
  </si>
  <si>
    <t>Coordinator Sec Math</t>
  </si>
  <si>
    <t>Karyn.Crowe@pisd.edu</t>
  </si>
  <si>
    <t>Buechman</t>
  </si>
  <si>
    <t>karen.buechman@pisd.edu</t>
  </si>
  <si>
    <t>Talle</t>
  </si>
  <si>
    <t>Gomez</t>
  </si>
  <si>
    <t>Exec Dir Multilingual Services</t>
  </si>
  <si>
    <t>talle.gomez@pisd.edu</t>
  </si>
  <si>
    <t>(469) 752-2202</t>
  </si>
  <si>
    <t>Jaime</t>
  </si>
  <si>
    <t>Aquino</t>
  </si>
  <si>
    <t>superintendent@saisd.net</t>
  </si>
  <si>
    <t>(210) 554-2200</t>
  </si>
  <si>
    <t>Doyle</t>
  </si>
  <si>
    <t>Senior Executive Director for the Curriculum, Instruction, and Assessment Department</t>
  </si>
  <si>
    <t>kendra.doyle@saisd.net</t>
  </si>
  <si>
    <t>(210) 554-2620</t>
  </si>
  <si>
    <t>Olivia</t>
  </si>
  <si>
    <t>Assistant Superintendent, Bilingual, ESL &amp; Migrant</t>
  </si>
  <si>
    <t>OHernandez2@SAISD.net</t>
  </si>
  <si>
    <t>James</t>
  </si>
  <si>
    <t>Vasquez</t>
  </si>
  <si>
    <t>jvasqu02@sisd.net</t>
  </si>
  <si>
    <t>(915) 937-0000</t>
  </si>
  <si>
    <t>Estorga</t>
  </si>
  <si>
    <t>Secondary Math Instructional Officer</t>
  </si>
  <si>
    <t>aestor04@sisd.net</t>
  </si>
  <si>
    <t>(915) 937-0302</t>
  </si>
  <si>
    <t>Parham</t>
  </si>
  <si>
    <t>mparha@sisd.net</t>
  </si>
  <si>
    <t>Guerra</t>
  </si>
  <si>
    <t>Assistant Superintendent of Schools</t>
  </si>
  <si>
    <t>cguerr08@sisd.net</t>
  </si>
  <si>
    <t>(915) 937-0301</t>
  </si>
  <si>
    <t>Superintendent Tenure</t>
  </si>
  <si>
    <t>Curriculum Lead</t>
  </si>
  <si>
    <t>CTE Lead</t>
  </si>
  <si>
    <t>Math Lead</t>
  </si>
  <si>
    <t>Publicly Stated Priorities</t>
  </si>
  <si>
    <t>Board Meeting Frequency</t>
  </si>
  <si>
    <t>Score (James)</t>
  </si>
  <si>
    <t>Score (Chy)</t>
  </si>
  <si>
    <t>Score (Renee)</t>
  </si>
  <si>
    <t>Score (Jen)</t>
  </si>
  <si>
    <t>Score (Irene)</t>
  </si>
  <si>
    <t>Latonya Goffney</t>
  </si>
  <si>
    <t>Faviola Cantu</t>
  </si>
  <si>
    <t>Brooke Martin</t>
  </si>
  <si>
    <t>Tracy Mansfield</t>
  </si>
  <si>
    <t>Executive Director of Mathematics and Science</t>
  </si>
  <si>
    <t>tmansfield@aldineisd.org</t>
  </si>
  <si>
    <t>monthly</t>
  </si>
  <si>
    <t>Matt Smith</t>
  </si>
  <si>
    <t>2 years</t>
  </si>
  <si>
    <t>Delisse Hardy</t>
  </si>
  <si>
    <t>Candace McGowan</t>
  </si>
  <si>
    <t>cmcgowan@aisd.net</t>
  </si>
  <si>
    <t>Tiffany LeGrand</t>
  </si>
  <si>
    <t>Matias Segura</t>
  </si>
  <si>
    <t>Mary Maxwell</t>
  </si>
  <si>
    <t>Tammy Caesar</t>
  </si>
  <si>
    <t>Krystal Frank</t>
  </si>
  <si>
    <t>Executive Director of Curriculum</t>
  </si>
  <si>
    <t>Alda Benavides</t>
  </si>
  <si>
    <t>interim</t>
  </si>
  <si>
    <t>Beatriz Hernandez</t>
  </si>
  <si>
    <t>Adrian Dorsett</t>
  </si>
  <si>
    <t>Dora Sauceda</t>
  </si>
  <si>
    <t>Assistant Superintendent Curriculum, Instruction &amp; Accountability</t>
  </si>
  <si>
    <t>drdesauceda@bisd.us</t>
  </si>
  <si>
    <t>David Vinson</t>
  </si>
  <si>
    <t>new (7/1/26)</t>
  </si>
  <si>
    <t>Dayren Carlisle</t>
  </si>
  <si>
    <t>Director Curriculum, Instruction and Professional Learning</t>
  </si>
  <si>
    <t>dcarlisle@conroeisd.net</t>
  </si>
  <si>
    <t>Tally Stout</t>
  </si>
  <si>
    <t>Director of Career and Technical Education</t>
  </si>
  <si>
    <t>tstout@conroeisd.net</t>
  </si>
  <si>
    <t>Brittany Koester</t>
  </si>
  <si>
    <t>Douglas Killian</t>
  </si>
  <si>
    <t>Tonya Goree</t>
  </si>
  <si>
    <t>Mark Williams</t>
  </si>
  <si>
    <t>Laura Adams</t>
  </si>
  <si>
    <t>Stephanie Elizalde, Ed.D.</t>
  </si>
  <si>
    <t>selizalde@dallasisd.org</t>
  </si>
  <si>
    <t>4 years</t>
  </si>
  <si>
    <t>Angie Gaylord</t>
  </si>
  <si>
    <t>Cheryl Nevels</t>
  </si>
  <si>
    <t>Keisha Wilkerson</t>
  </si>
  <si>
    <t>Susannah Holbert O'Bara</t>
  </si>
  <si>
    <t>Sandy Brown</t>
  </si>
  <si>
    <t>Executive Director for Elementary Teaching &amp; Learning</t>
  </si>
  <si>
    <t>sbrown@dentonisd.org</t>
  </si>
  <si>
    <t>Carla Ruge-Fritz</t>
  </si>
  <si>
    <t>Jennifer Davis</t>
  </si>
  <si>
    <t xml:space="preserve">Methods: Uploaded strategic plan documents to Copilot and asked for summary based on guidelines I have created here. Searched Burbio for keyword matches in school board documents. </t>
  </si>
  <si>
    <t>Strategic Plan Themes</t>
  </si>
  <si>
    <t xml:space="preserve">Math Improvement Mentioned </t>
  </si>
  <si>
    <t>Math Priority Strength</t>
  </si>
  <si>
    <t>Intervention Focus</t>
  </si>
  <si>
    <t>Intervention Focus Details</t>
  </si>
  <si>
    <t xml:space="preserve">Teacher Capacity/PD Focus </t>
  </si>
  <si>
    <t>Teacher Capacity Details</t>
  </si>
  <si>
    <t xml:space="preserve">Career Readiness Mentioned </t>
  </si>
  <si>
    <t>Career Readiness Details</t>
  </si>
  <si>
    <t>SPED/ELL Improvement Mentioned</t>
  </si>
  <si>
    <t>SPED/ELL Details</t>
  </si>
  <si>
    <t>MTSS/Tiered Support Mentioned</t>
  </si>
  <si>
    <t>MTSS Details</t>
  </si>
  <si>
    <t xml:space="preserve">Curriculum Review/Adoption Activity </t>
  </si>
  <si>
    <t>Curriculum Details</t>
  </si>
  <si>
    <t>Active Grants (Yes/No)</t>
  </si>
  <si>
    <t>Grants Details</t>
  </si>
  <si>
    <t>Sources</t>
  </si>
  <si>
    <t>Student centered culture; instructional excellence and rigorous teaching practices; strong teacher/leader development; data driven systems; postsecondary readiness; family and community engagement</t>
  </si>
  <si>
    <t>High - explicit anchor goal; all 8th graders perform math on or above grade level</t>
  </si>
  <si>
    <t>Medium focus; data driven instruction + student work analysis; addressing gaps through instructional practices; support for students with disabilities and multinlingual learners</t>
  </si>
  <si>
    <t>Very strong signals; system wide focus on observation and feedback systems; professional learning systems; instructional coaching; leadership pipelines and onboarding systems; data literacy and instructional improvement</t>
  </si>
  <si>
    <t>Strong focus on expanding access to dual credit, AP courses, and CTE; goal to prepare all students for college, career, or life pathways</t>
  </si>
  <si>
    <t>Yes - implicit</t>
  </si>
  <si>
    <t>Focus on students with disabilities, multilingual learners, and SEL systems; no formal Tier 2/Tier 3 labeling</t>
  </si>
  <si>
    <t>Implementing Bluebonnet</t>
  </si>
  <si>
    <t>LASSO 4 grant for Bluebonnet</t>
  </si>
  <si>
    <t>https://drive.google.com/file/d/1zPzmykbYYCQ8xeAXq5loMdMlg_7Afgp5/view</t>
  </si>
  <si>
    <t>Academic growth across core subjects, teacher capacity and instructional quality improvements, college career and military readiness expansion, family community engagement</t>
  </si>
  <si>
    <t>High - explicit performance targets across K-Algebra I</t>
  </si>
  <si>
    <t>Required targeted small-group interventions for students below benchmark; progress monitoring tied to NWEA growth cycle</t>
  </si>
  <si>
    <t>heavy emphasis on professional learning across all subjects especially math and literacy; focus on research based instructional strategies and content pedagogy</t>
  </si>
  <si>
    <t>Strong CCMR focus; expansion of programs tied to workforce credentials</t>
  </si>
  <si>
    <t>Medium priority - subgroup performance monitoring through data-driven instruction cycles and intervention systems; focus on closing achievement gaps and aligning supports to STAAR and NWEA growth; ELL supported through academic intervention; SPED addressed via tiered support systems (academic + behavioral)</t>
  </si>
  <si>
    <t>Yes - implicit but strong</t>
  </si>
  <si>
    <t>tier 2 student supports, progress monitoring, data driven student grouping</t>
  </si>
  <si>
    <t>District-wide curriculum management audit underway; development of 3-5 year implementation roadmap</t>
  </si>
  <si>
    <t>District wide culture + engagement; early literacy and foundational math/numeracy improvements (K-3); postsecondary readiness; special education compliance and improvement</t>
  </si>
  <si>
    <t>High - explicit and recurring; early learning math targets; middle school math improvement (19%-25% proficiency target); Algebra readiness tied to equity groups</t>
  </si>
  <si>
    <t>Data-driven; heavy use of NWEA MAP progress monitoring</t>
  </si>
  <si>
    <t>Formal district professional development plan; focused on teacher retention and support; instruction aligned to student outcome data</t>
  </si>
  <si>
    <t>Very strong postsecondary focus; dual credit/AP/IB participation; Industry-Based Certifications; clear numeric targets for participation and completion</t>
  </si>
  <si>
    <t>Extreme priority - Major district-wide transformation effort in SPED; acting under TEA Special Education Agreed Order, required to complete 99 action items to improve SPED service; historical issues including large backlog of SPED evaluations and compliance violations tied to delayed services and reporting gaps; current actions include tripling evaluation staff from 24 to 72 to address backlog and building new data systems for SPED tracking and compliance; ELL prioritization explicitly mentioned with differentiated instruction for diverse learners</t>
  </si>
  <si>
    <t>Yes - implied</t>
  </si>
  <si>
    <t>focus on subgroup performance (equity gaps); progress monitoring cycles; early intervention through assessment systems</t>
  </si>
  <si>
    <t>https://www.austinisd.org/sites/default/files/dept/strategic-plan/docs/AISD_Improvement_Plan_2025-2026.pdf</t>
  </si>
  <si>
    <t>district wide curriculum alignment and instructional quality; integrated student support systems; closing achievement gaps; college, career, trade, or military readiness for all; attendance, enrollment growth and family engagement; teacher recruitment, retention, and development</t>
  </si>
  <si>
    <t>Yes - not explicit</t>
  </si>
  <si>
    <t>Medium - focus on grade level profiency;emphasis on numeracy alongside literacy through core instruction</t>
  </si>
  <si>
    <t>Very strong explicit signal; creation of district-wide Tier 2 &amp; 3 curriculum; targeted support for students below grade level and students needing accelerated growth; pilot programs and scaled implementation across campuses</t>
  </si>
  <si>
    <t>Establishment of District Professional Learning Committee; building educator capacity; implementing "highly effective instruction" and teacher mentor programs</t>
  </si>
  <si>
    <t>100% of students college, career, trade, or military ready</t>
  </si>
  <si>
    <t>High Priority - strong emphasis on equity and access for all student groups; dedicated special populations programming; focus on closing acheivement gaps through integrated student support systems; development of Tier 2 and Tier 3 curriculum aligned to student needs; federal accountability presence tied to targeted support campuses tied to subgroup performance</t>
  </si>
  <si>
    <t>Yes - very explicit</t>
  </si>
  <si>
    <t>Creation of Integrated Student Support Systems; formal tier 2 and tier 3 instructional framework; includes academic intervention, SEL, and data monitoring systems</t>
  </si>
  <si>
    <t>Yes - very strong</t>
  </si>
  <si>
    <t>District-wide effort to align curriculum + assessments; update instructional materials list; emphasis on high-quality curriculum and standardized instructional practices</t>
  </si>
  <si>
    <t>https://files-backend.assets.thrillshare.com/documents/asset/uploaded_file/5547/Bisd/945d33fc-854e-4dc3-9c5d-51ca48eadd41/View_the_2024-2029_Strategic_Action_Plan.pdf?disposition=inline</t>
  </si>
  <si>
    <t>Fast-growing district; strong academic outcomes; focus on instructional consistency; data-driven instruction systems; post-secondary readiness; teacher recruitment and retention pressures</t>
  </si>
  <si>
    <t>Medium - math improvement is embedded within broader Tier 1 instruction and overall achievement goals rather than as standalone goal</t>
  </si>
  <si>
    <t>High focus - clear gaps in Tier 1 instructional consistency and explicit need for Tier 2 and Tier 3 intervention systems; emphasis on targeted support struggling, at-risk, and diverse student populations</t>
  </si>
  <si>
    <t>High signals; strong emphasis on professional development, instructional coaching, and data use; driven by rapid district growth; teacher shortages especially across SPED and bilingual</t>
  </si>
  <si>
    <t>Strong focus - CCMR expansion focus as well as dual credit/AP; clear goals tied to increasing readiness outcomes across student groups</t>
  </si>
  <si>
    <t>High priority - focus on supporting diverse learners including SPED and emergent bilingual students</t>
  </si>
  <si>
    <t>No major new curriculum adoption identified</t>
  </si>
  <si>
    <t>Multiple state and federal funding streams being used</t>
  </si>
  <si>
    <t>Strong emphasis on measurable student achievement gains (STAAR/EOC); clear targets for CCMR, graduation rates, early literacy and math profiency; operates with data-driven continous improvement cycles; uses structured "guardrails" for safety, human capital, communication, and operations</t>
  </si>
  <si>
    <t>Very strong - K-2 math profiency is a formal district goal; heavy emphasis on conceptual understanding, problem solving and discourse, and fluency + retrieval practice; uses tools like Bloom in Math and ST Math; instructional expectations include small group instruction, manipulatives, and higher order thinking</t>
  </si>
  <si>
    <t>Strong but embedded into instruction; includes small group, scaffolded curriculum, supplemental supports; targets economically disadvantaged, emergent bilingual students, and special education</t>
  </si>
  <si>
    <t>Extremely strong system; major focus on high-quality "first time instruction;" data-driven teaching systems; frequent PD cycles; instructional specialists receive multiple trainings annually; includes coaching, curriculum alignment training, and content-specific PD (especially math and literacy)</t>
  </si>
  <si>
    <t>Very strong CCR systems; focus on AP and dual credit expansion, industry certifications (CTE), and College Academy participation; uses data to identify students not meeting CCR indicators, targeted interventions</t>
  </si>
  <si>
    <t>Medium priority - Integrated support for SPED and EB/ELL students; targeted instructional strategies embedded into core instruciton and intervention systems; emphasis on closing achievement gaps across subpopulations and differentiated instruction at Tier 1 and small-group levels; strong compliance systems for dyslexia services and SPED program structures</t>
  </si>
  <si>
    <t>Fully built system that includes PBIS (behavior systems) and RTI (academic supports), mental health and attendance interventions; strong compliance frameworks</t>
  </si>
  <si>
    <t>No adoption but continuous reviews for TEKS alignment; math contains fluency systems, spiral reviews, and structured practice</t>
  </si>
  <si>
    <t>Active use of Title I</t>
  </si>
  <si>
    <t>very strong fit if positioned as teacher support, instructional enhancement, and embedded intervention</t>
  </si>
  <si>
    <t>Student achievement and outcome based goal system; CCMR, early learning, HQIM implementation; strategic compensation and teacher effectiveness; mental health and student support systems; school choice and enrollment strategy; data-driven planning and resource alignment</t>
  </si>
  <si>
    <t>High priority - explicit inclusion of early numeracy as a core strategic priority; dedicated literacy and math acceleration specialists embedded in strategy; math improvement tied to Tier I instruction, targeted intervention, and progress monitoring cycles</t>
  </si>
  <si>
    <t>Targeted instruction identified as a core system strategy; structured targeted progress monitoring cycles; additional support structures for struggling students; integration of digital learning resources and Tier I and supplemental supports</t>
  </si>
  <si>
    <t>Professional development is a core implementation layer; strategic compensation system tied to teacher performance and retention; training aligned to HQIM and Tier I instruction expectations</t>
  </si>
  <si>
    <t>Major initiative area; includes college prep supports, aligned programs of study, and Gen-Tech degree pathways; focus on postsecondary readiness navigation and real-world readiness</t>
  </si>
  <si>
    <t>Medium priority - Heavy focus on equitable access to grade-level instruction via HQIM; SPED and ELL addressed through HQIM, tiered instructional supports, and targeted instruciton and progress monitoring; curriculum designed to support diverse learners and provide scaffolds for differentiated pathways; strong inclusiong emphasis on ensuring all students access core Tier 1 instruction.</t>
  </si>
  <si>
    <t>Tier I instruction framework clearly defined; targeted instruction for below-grade-level students; continuous progress monitoring systems</t>
  </si>
  <si>
    <t>Major district investment in HQIM ($23.5M in rollout); has already adopted Eureka Math TEKS Edition; focused on building teacher capacity currently; heavy emphasis on preparing to teach HQIM units effectively; system-wide alignment of materials and instruction</t>
  </si>
  <si>
    <t>Explicit alignment of local and federal funding streams to district goals; likely Title I and related federal program usage</t>
  </si>
  <si>
    <t>Student achievement accountability (STAAR/EOC performance driven goals); tiered student support system based on socioeconomic status and campus performance; PLC-driven instruction; data-driven instruction through common assessments and progress monitoring; teacher capacity and professional learning systems; CCMR improvement; family engagement and community partnership; fiscal stewardship and resource alignment</t>
  </si>
  <si>
    <t>Extremely strong - math performance targets across all grade levels (3-Algebra I); targets differentiated by SES tiers; direct alignment to STAAR/EOC performance and campus accountability ratings; very quantitatively defined math priorities</t>
  </si>
  <si>
    <t>Medium strength signals - Tiered system used to differentiate support across campuses and student groups; heavy reliance on common assessments and formative assessment; intervention embedded into core instruction not standalone tutoring; strong interventino system but teacher executed not program driven</t>
  </si>
  <si>
    <t>Very strong signal - Core dependency: Professional Learning Communities (PLCs); teachers expected to indentify essential standards, plan instruction collaboratively, respond to student performance data; district provides ongoing PD focused on Tier 1 instruction, differentiated intervention, and assessment usage</t>
  </si>
  <si>
    <t>Medium signal - goal to increase CCMR from 77.4% to 80%; strategies including early exposure to pathways, college/career planning supports for students and families, and district level CCMR monitoring committees; focus on certifications, postsecondary readiness, and student pathway awareness</t>
  </si>
  <si>
    <t>High priority - Embedded within tiered support model; data-driven approach; subgroup outcomes directly tied to STAAR targets; ELL has TELPAS growth expectations; language development integrated into instruction; SPED is addressed through PLC-driven intervention and planning cycles; inconsistent curriculum implementation across campuses; clear structural support but execution inconsistency creates real opportunity at campus level</t>
  </si>
  <si>
    <t>Yes - explicit</t>
  </si>
  <si>
    <t>Strong emphasis - formal tiered system based on SES + campus performance; differentiated expectations by campus, drive-driven grouping and supports, and intervention tied to assessment cycles</t>
  </si>
  <si>
    <t>Just adopted a new curriculum (possibly HMH or i-Ready) for K-12 math and elementary ELA in February 2026; adoption followed State IMRA (Instructional Materials Review and Approval) process; heavy teacher involvement ~90%; implementation includes vendor training. Summer onboarding; and campus-level planning cycles; explicity said they are NOT adopting Bluebonnet; teachers need help implementing curriculum; huge opportunity for teacher-facing tools and structured math practice/intervention. Currently use STEMscopes Math as a digital supplement</t>
  </si>
  <si>
    <t>Whole child development; academic achievement growth across STAAR; strong MTSS + intervention system expansion; CCMR pathways; emergent bilingual and SPED equity and access; extended learning; curriculum fidelity and HQIM implementation; talent development, retention, and district sustainability</t>
  </si>
  <si>
    <t>High - STAAR math "Meets" target explicty mentioned (increasing from 38% to 40%); NWEA MAP growth targets established across grade levels; tiered academic supports (Tier 1,2,3) embedded in district strategy; master schedule adjustments (double-block.intervention time)</t>
  </si>
  <si>
    <t>District-wide MTSS implementation target (75% campus adoption); Tier 1, 2, 3 instructional supports across all levels; Large investment in math and reading interventionists; extended learning systems; credit recovery and support for at-risk students; transportation funding to remove barriers to tutoring access</t>
  </si>
  <si>
    <t>Very strong signal - Major investment in professional development across curriculum implementation, PBIS/SEL systems, and instructional practices and coaching; teacher cadre model for curriculum development; continuous coaching + trend walk monitoring; leadership capacity development (principal coaching, pipeline programs)</t>
  </si>
  <si>
    <t>Strong CCMR focus across multiple strategies including increasing CCMR attainment from 87% to 89%, expansion of dual credit, AP/IB, and idustry-based certifications; middle school pipeline for career exploration; investing heavily in career pathways + readiness systems</t>
  </si>
  <si>
    <t>Very high priority - Strong explicit focus on Emergent Bilingual students; TELPAS growth targets and reduction of long-term EB population; district-wide dual language and ESL program implementation; major investments in bilingual supports, literacy programs, and language acquisition systems; significant emphasis on SPED access and outcomes; increasing SPED student participation in advanced coursework and credit attainment; closing achievement gaps for EB and SPED across STAAR and growth metrics; increased access to college credit and career pathways</t>
  </si>
  <si>
    <t>District-wide HQIM implementation underway; strong emphasis on alignment to TEKS; Curriculum fidelity target increase 86% to 90%</t>
  </si>
  <si>
    <t>Extensive use of federal funding streams Title I, II, III, and IV</t>
  </si>
  <si>
    <t>Academic growth through enhanced learning opportunities; stronger instructional leadership and PLC practices; improved CCMR outcomes; stronger support for SPED/EB students; professional culture/accountability/communication (PAC); student engagement and behavior systems; transparent budgeting and resource alignment</t>
  </si>
  <si>
    <t>High - explicit 3rd grade STAAR math target (57% -&gt; 60%); HB3 math goal alignment; campus support for math instruction; use of district formative assessments; targeted math mini-lessons/technology integration</t>
  </si>
  <si>
    <t>Tier 3 reading intervention at all elementary campuses; identification of students needing interventionTier 3 reading intervention at all elementary campuses; identification of students needing intervention through NWEA MAP and district assessments; targeted campus support tied to data analysis, coaching, classroom modeling, and differentiated campus plans for Emergent Bilingual students.</t>
  </si>
  <si>
    <t>Strong emphasis on professional learning for Tier 1 instruction, data-driven instruction, differentiation for SPED/EB/GT students, PLC / PLT practices, coaching, guided observations, learning walks, and campus administrator/teacher leader support across content areas.</t>
  </si>
  <si>
    <t>Major CCMR push (65.1% → 90%) through College Bridge, TSIA2 remediation, counselor support, CTE program support, industry-based certifications, technology integration in CTE, and broader career education beginning before graduation</t>
  </si>
  <si>
    <t>Very high signal - Large and growing SPED population (15.56%) and substantial EB population (20.25%); RDA data identifies subgroup strengths and gaps; concern that SPED students are often removed from rigorous curriculum access; differentiated campus plans for EB students; PD for teachers serving SPED/EB students; need for stronger inclusive practices across content areas</t>
  </si>
  <si>
    <t>Written curriculum and instructional planning aligned to TEKS, but implementation quality varies by campus; district is using lesson reviews, walkthroughs, formative assessment analysis, and curriculum material determination to improve consistency; new science curriculum / online platform training also noted.</t>
  </si>
  <si>
    <t>Plan explicitly references Title I, Part A funding for instructional coaches and parent-family engagement, plus use of federal/state accountability and special population data systems; multiple subgroup and intervention strategies appear supported by federal program funding streams</t>
  </si>
  <si>
    <t>Focus on student academic excellence, student/family engagement, employee effectiveness and retention, and operational alignment/efficiency. The plan is centered on early literacy and numeracy, accelerated growth for African American students and EB students, equitable supports for students with disabilities, postsecondary readiness, family engagements, talent pipelines, and district transformation planning</t>
  </si>
  <si>
    <t>Very high signal -  set a long-range 3rd grade STAAR math goal from 35% to 50% by 2030, with annual targets beginning at 37% in 2026, and ties progress to six-week tests, MAP Growth K–3 math, and benchmarks. The plan also emphasizes early numeracy in the early grades as a core academic priority.</t>
  </si>
  <si>
    <t>High signal because the district plans to implement a tiered data system that targets resources and instructional support for students, educators, grade levels, and schools based on specific needs. The plan also includes school reform models to close achievement gaps, differentiated curriculum and experiences, and district-wide behavior expectations to support academic growth.</t>
  </si>
  <si>
    <t>Very high signal because FWISD prioritizes lab classrooms for educators to share and learn effective instructional practices, a grow-your-own teacher and school leader pipeline, induction and mentoring, supervisor training, and use of the Teacher Incentive Allotment (TIA) to improve teacher effectiveness, retention, and compensation. The plan also includes a strategic compensation system for school leaders</t>
  </si>
  <si>
    <t>Very high signal because the district sets a CCMR outcomes bonus goal from 19% to 47% by 2030, supported by TSIA2 readiness, Industry-Based Certifications (IBCs), college applications, and explicit college/career pathway preparation. Postsecondary readiness is named as a Priority 1 focus area at all grade levels</t>
  </si>
  <si>
    <t>Very high signal because the plan explicitly prioritizes accelerated academic growth for Emergent Bilingual students and supports for students with disabilities to ensure equitable opportunities. District demographics show a large Emergent Bilingual population (41.2%) and a substantial special education population (14.3%), indicating subgroup scale is a major district reality, not a marginal issue</t>
  </si>
  <si>
    <t>High signal because FWISD plans to design and implement a Pre-K–12 District Literacy Plan, redirect and allocate funds toward a literacy-focused organizational model, differentiate curriculum and experiences, and develop a District Educational Transformation Plan to align systems and accelerate academic growth. The curriculum signal is more implementation-and-transformation oriented than a clearly named adoption cycle</t>
  </si>
  <si>
    <t>does not name specific grants or funding programs</t>
  </si>
  <si>
    <t>Very strong signals around standards=based academic growth, elimination of low-performing campuses and system-wide instructional coherence. The plan is highly data-driven with explicit long-range targets for literacy, math, CCMR, and campus ratings. Equity, early learning alignment, and family/community engagement are embedded throughout.</t>
  </si>
  <si>
    <t>Very high signal because GISD sets explicit STAAR math targets (e.g., Grade 3 to 58% and Grade 6 to 56% by 2030), with defined annual benchmarks; pairs them with detailed strategies including HQIM implementation, numeracy fluency programs, assessment frameworks, and Algebra readiness pathways</t>
  </si>
  <si>
    <t>High signal - robust, structured supports (MTSS, targeted math interventions, campus-level differentiations, and gap-closing strategies). While comprehensive, these are standard best-pracctice interventions, not system redesign.</t>
  </si>
  <si>
    <t>High signal with strong emphasis on PD, coaching, mentoring, and instructional leadership pipelines. It is well-developed but largely conventional; expansion of Collaborative Learning Communities (CLCs); beginning teacher mentoring and residency programs to improve retentino and effectiveness</t>
  </si>
  <si>
    <t>Very high signal through clear CCMR and TSI outcome targets and aligned strategies; strong metrics and systems but not the dominant focus compared to core academics</t>
  </si>
  <si>
    <t>Medium signal - subgroup support is embedded through programs and tracking systems but lacks same degree of explicit targets and system overhaul seen in core academics</t>
  </si>
  <si>
    <t>Very high signal - districtwide HQIM implementation; explicit instruction frameworks; deeply embedded but still operates within standard curriculum alignment model; introduction of formative, summative, and diagnostic assessments (i-Ready, STAAR, CBAs); development of vertical curriculum frameworks; use of AI-assisted writing tools for feedback and instruction</t>
  </si>
  <si>
    <t>Title I, II, III, Perkins V, LASO III</t>
  </si>
  <si>
    <t>Wholescale systemic reform across instruction, staffing, central office, accountability and school models; plan explicitly calls for redesigning education system, not incremental improvement; long-term measurable outcomes tied to achievement gaps and workforce readiness</t>
  </si>
  <si>
    <t>Very high signal - math deeply embedded in achievement gap closure, NWEA/STAAR performance tracking, and instructional quality reforms; not isolated as a standalone priority but part of larger systemic change</t>
  </si>
  <si>
    <t>Extremely strong - structural redesign of intervention delivery; tiered model with NES, D/F improvement required schools, and C-rated "Raising the Bar" schools; mandatory extended learning time (178-185 days); centralized lesson planning + curriculum supports for high-need campuses; deployment of teacher apprentices and coaching structures</t>
  </si>
  <si>
    <t>Extremely strong signal b ased on full system redesign; creation of Principals' Academy pipeline (75 leaders/year); expansion of teacher leadership roles and leadership density model; implementation of new evaluation systesms tied to instructional quality and outcomes; alignment of professional development, coaching, and accountability into one system; direct linkage of leadership performance to instructional improvement and student achievement</t>
  </si>
  <si>
    <t>Very high - increase CCMR from 63% to 75% by 2028; expansion of industry-based certifications (338 to 1000); integration of Year 2035 competencies: critical thinking, communication, problem-solving; alignment of CTE pathways to workforce demands; development of courses and experiences tied to future workforce skills</t>
  </si>
  <si>
    <t>Extreme signal - mandated system overhaul; required changes include: Full compliance with state SPED corrective actions
Creation of SPED action plan with measurable outcomes
Integration of SPED staff into school leadership structure
Addition of SPED specialist roles for compliance + instructional support
Mandatory staff certification and PD requirement</t>
  </si>
  <si>
    <t>High signal - adoption of content-rich literacy resources (Science of Reading focus); development of centralized lesson plans for priority campuses; emphasis on content rigor and instructional clarity</t>
  </si>
  <si>
    <t>HB3 Early Education Allotment</t>
  </si>
  <si>
    <t>Metric heavy district improvement plan with signals around CCMR expansion, instructional systems alignment, teacher effectiveness, and long-range operational modernization. Six formal priorities tied directly to strategic roadmap pillars: aligned curriculum systems, HPKS, teacher/principal effectiveness, CCMR acountability, and operational efficiency and facility restructuring</t>
  </si>
  <si>
    <t>Very high signal due to explicit K-8 math outcome targets, intervention systems, curriculum alignment work, and early numeracy investment. Targets underperformance in grades 4-8 math. Established measurable growth targets such as Kindergarten MAP growth 15% to 24%, grade 8 math 44% to 46%; revision of curriculum documents around HPKS, creation of common formative assessments, monitoring systems, K-3 numeracy emphasis tied to early growth acceleration</t>
  </si>
  <si>
    <t>High signal - District support team model for identified campuses, tailored coaching and professional learning, Tier 2 middle school instructional expectations; coaching tied to MAP, STAAR, and HPKS data</t>
  </si>
  <si>
    <t>Very high signal - teacher effectiveness is a central operational lever throughout the plan; repeatedly identifies inconcistent instructional practices as a root cause and responds with a highly structured improvement system focused on instructional design, delivery expectations, coaching infrastructure, and professional learning deployment</t>
  </si>
  <si>
    <t>Extreme signal - key metrics include: Grade 9 CCMR target: 50%
Grade 10 CCMR target: 65%
Grade 11 CCMR target: 70%
HB3 Grade 12 target: 88% CCMR met; Major implementation structures: Mandatory graduation planning through SchooLinks for all Grades 7–11
Campus CCMR action plans
Principal/counselor accountability systems
CCMR targets embedded into T-PESS evaluations
K–12 “on-track to CCR” monitoring beginning in elementary school; Plano also includes highly detailed subgroup CCMR targets extending through 2029.</t>
  </si>
  <si>
    <t>Medium signal - extensive subgroup accountability tracking; not positioned as standalone transformation initiative</t>
  </si>
  <si>
    <t>Very high signal with substantial curriculum systems work underway districtVery high signal with substantial curriculum systems work underway districtwide.
Plano conducted a full external curriculum audit through CMSI and identified curriculum alignment gaps as a central issue affecting student growth. 
Major curriculum initiatives include: Revision of curriculum documents aligned to HPKS
Vertical alignment work across grade bands
Common formative assessment development
Curriculum alignment to: MAP, PSAT/SAT, TSIA, STAAR expectations; Explicit instructional model clarification districtwideide.</t>
  </si>
  <si>
    <t>Very high signal - federal funding is tightly integrated into instructional execution and district operations; Major funding streams include Title I Part A ($5.72M), Title II Part A (~$992K), Title IV Part A (~$482K)</t>
  </si>
  <si>
    <t>High signal - explicitly identifies math as one of the districts key achievement-gap areas; plan includes focused mathematics professional development, intervention resources, technology funding to support math instruction, summer bridge opportunities, and monitoring of accelerated instruction for STAAR/EOC students. Not a single dominant driver</t>
  </si>
  <si>
    <t>High signal - plan repeatedly references supplemental resources, intervention opportunities, accelerated instruction tracking, homelessness supports, dropout prevention, social work services, and MTSS behavior practices; the district also calls out the need to track and document accelerated instruction hours, identify appropriate intervention tools, and equip campuses with Tier I, II, and III behavior supports</t>
  </si>
  <si>
    <t>Very high signal - heavy emphasis on recruiting, developing, supporting, and retaining high-quality staff. The plan includes a two-year new teacher mentor program, high-volume Title II-funded professional learning, coaching and job-embedded support, targeted PD for advanced coursework teachers, and efforts to increase ESL certification among RLA teachers. The district also identifies teacher effectiveness gaps and staffing/retention challenges as major root causes affecting student outcomes</t>
  </si>
  <si>
    <t>Very high signal - includes strong CCMR-related systems across CTE, dual credit, AP/KAP, STEAM, and postsecondary transitions. The district highlights increasing dual credit participation, structured CTE career preparation and internship opportunities, awareness-building around Programs of Study, and stronger exposure to advanced coursework beginning in earlier grades</t>
  </si>
  <si>
    <t>Very high signal - explicitly names achievement disparities for students receiving special education, ESL/bilingual services, and other historically underserved groups. The plan includes Title III language instruction funding, IDEA-B special education allocations, expanded bilingual/ESL programming, support for increased ESL certification among RLA teachers, and a specific focus on helping emergent bilingual students improve academic language production</t>
  </si>
  <si>
    <t>High signal - very focused on improving instructional quality through supplemental resources, differentiated supports, advanced coursework access, and subject-specific professional learning, including mathematics and advanced academics. However, the curriculum signal is more about strengthening delivery, personalization, and teacher capacity than about a clearly named districtwide curriculum adoption cycle or a major HQIM conversion</t>
  </si>
  <si>
    <t>Katy’s DIP explicitly ties major strategies to substantial funding streams, including Title I, Title II, Title III, Title IV, Perkins, and IDEA-B</t>
  </si>
  <si>
    <t>Signals around districtwide academic quality, personalized learning, staff development and compensation, student well-being, and operational/resource alignment. The plan is broad and highly structured, but it is still more of a comprehensive improvement framework than a transformational redesign.</t>
  </si>
  <si>
    <t>Equity, K-8 academic foundations, biliteracy, middle school redesign, secondary readiness, wellness, and stakeholder voice. Needs assessment is explicit in diagnosing systemic weaknesses around middle school reading/math, instructional consistency, and college/career readiness</t>
  </si>
  <si>
    <t>Very high signal because Irving explicitly identifies numeracy as a systemwide concern, with the most alarming example being Grade 7 Math dropping from 25% to 5% at Meets Grade Level. The district’s strategic considerations call for rebuilding middle school systems, strengthening K–8 numeracy foundations, improving Tier I instruction, and rethinking staffing, curriculum, and professional learning in the middle grades. This goes beyond generic math language and reflects a serious, explicitly recognized district problem</t>
  </si>
  <si>
    <t>Very high signal because the district identifies flat or regressing literacy performance, especially in the early grades and middle school, and repeatedly points to the need for acceleration, intervention, and more consistent Tier I implementation. The needs assessment specifically mentions strengthening K–8 literacy and numeracy foundations, embedding frequent formative assessment, expanding early supports, and addressing uneven implementation across campuses</t>
  </si>
  <si>
    <t>Very high signal because Irving explicitly ties weak performance to variability in principal leadership, uneven instructional oversight, inconsistent coaching, and uneven teacher readiness. The district’s professional development implementation section emphasizes job-embedded, standards-based PD, with a need to sharpen secondary literacy/math practices, bilingual and dual language pedagogy, and data use. The plan is clear that improvement depends heavily on educator development and stronger implementation support.</t>
  </si>
  <si>
    <t>Very high signal because Irving directly identifies declining CCMR indicators and underperforming AP passage rates as major system concerns, and it names “redesign college readiness pathways” and “refocus on secondary readiness” as strategic priorities. The district also has meaningful infrastructure already in place — including more than 34 CTE pathways, AVID, dual language pathways, STEM/innovation programming, and strong opportunities tied to biliteracy and college/career readiness — but the district clearly wants stronger, more coherent results from those assets</t>
  </si>
  <si>
    <t>Very high signal because this is one of the most central demographic and instructional realities in the entire plan. Irving serves 87% economically disadvantaged students and 54.3% emergent bilingual students, and its needs assessment repeatedly highlights biliteracy gaps, newcomer support needs, dual language refinement, and the need for bilingual/dual language professional development that has not kept pace with district needs. The plan also calls out disparities for students with disabilities and multilingual learners in access to advanced and special programs. This is not a side issue; it is a defining district condition</t>
  </si>
  <si>
    <t>High signal because the district notes that strong curricular resources and instructional models already exist, but implementation is inconsistent across campuses. The improvement opportunity is less about adopting something brand-new and more about tightening fidelity, standardizing expectations, improving vertical alignment, and ensuring equal access to high-quality Tier I instruction in literacy, math, bilingual, CTE, and STEM programs.</t>
  </si>
  <si>
    <t>Medium signal because Irving’s plan reflects significant federal-program and compliance infrastructure — including Title I, Head Start, NAEP, dyslexia, dropout prevention, and child welfare requirements — but the strategic narrative is much more focused on district coherence, instructional systems, and equity than on named grant deployment.</t>
  </si>
  <si>
    <t>Signals around college matriculation, academic accountability, student persistence, attendance, and staff retention. District improvement plan is intensely performance-oriented and mission-drive; the organizational identity is built around preparing students for college and life and the DIP ties that mission to explicit academic, operational, and retention metrics</t>
  </si>
  <si>
    <t>Very high signal - IDEA identifies a significant year-over-year decline in math STAAR across grade levels as a top priority problem and ties it to root causes such as weak pedagogical content knowledge, poor assessment alignment, and insufficient student-driven mathematical thinking. The network sets a concrete third-grade math target — increasing Meets performance from 28% to 39% — and supports that target with coaching, internal dashboards, benchmarks, and district training</t>
  </si>
  <si>
    <t>Very high signal - intervention is operationalized through multiple formal systems, including Critical Student Intervention (CSI), accelerated learning tied to House Bill 1416, tech-based intervention programs, RTI processes, and direct supports for students with reading and math gaps. The plan includes explicit completion benchmarks for accelerated learning minutes and school implementation targets for research-based, technology-supported intervention, which makes this a clearly measured and managed improvement area</t>
  </si>
  <si>
    <t>Very high signal because IDEA relies heavily on educator development as a network lever. The plan references New Teacher Institutes, monthly content webinars, quarterly collaborations, organization-wide trainings, individualized coaching, and a formal staff development cycle that includes goal-setting, reflection/feedback, and annual performance review. The district also explicitly names gaps in training beyond year one and identifies teacher loss and organizational culture as important district challenges, which increases the urgency of this area</t>
  </si>
  <si>
    <t>Extreme signal because career and college readiness is a defining identity-level priority for IDEA, not just one initiative among many. The district’s first goal is that all students matriculate to college, and it sets powerful, explicit benchmarks: a 95% CCMR rate for the class of 2025, an average ACT score of 20 or better for 11th graders, and 85% four-year college enrollment for the class of 2025. It also structures advising, college access information, TSI exemption tracking, and advising meetings across grade levels to support that mission.</t>
  </si>
  <si>
    <t>Very high signal because IDEA includes explicit TELPAS and SPED performance goals, names subgroup gaps directly in the needs assessment, and supports them with specialized programming, IEP-driven interventions, bilingual supports, and monitored service delivery. The district sets a goal that 55% of students taking TELPAS maintain or increase proficiency, and another goal that 65% of SPED students attain Approaches on STAAR, while also monitoring quarterly service-delivery compliance for students with IEPs and 504 plans</t>
  </si>
  <si>
    <t>Very high signal because IDEA has a tightly managed, vertically aligned academic model with named curriculum systems across subjects and grades. The district references balanced literacy, Eureka Math TEKS Edition, IDEA Math Curriculum Redesigned, AP-aligned secondary pathways, and curriculum managers who partner with school leaders on lessons and materials. HQIM quality and alignment are clearly embedded in the operating model, though the signal is more about tightly controlled implementation than about a newly announced adoption cycle</t>
  </si>
  <si>
    <t>Very high signal because IDEA’s DIP explicitly ties strategy execution to major funding streams and personnel structures. The plan references approximately $97 million in State Compensatory Education funds, substantial Title I staffing, and networkwide Title I family engagement and intervention requirements</t>
  </si>
  <si>
    <t>High signal around three districtwide strategic priorities: Cultivate Talent, Build Community, and Reimagine Learning. Klein’s public strategic framework is clearly centered on supporting staff, strengthening family/community partnership, and delivering strong learning experiences across academics, arts, and athletics. The district also states that its shared vision is that every student enters with a promise and exits with a purpose, with success measured through graduation with purpose, at least one year’s growth each year, and strong whole-student/community engagement outcomes.</t>
  </si>
  <si>
    <t>Yes - indirectly</t>
  </si>
  <si>
    <t>Medium signal - does not appear to name math as a top standalone district initiative, and the budget document does not include district-level math improvement goals in the same way a formal DIP would. However, Klein does emphasize “Reimagine Learning,” strong academic performance, student growth, and broad academic pathways, and it notes that budget priorities are intended to strengthen academic performance in the state accountability system. Because math is likely embedded within general academics rather than named explicitly, this is better scored as medium rather than high.</t>
  </si>
  <si>
    <t>High signal because one of Klein’s three core strategic priorities is Cultivate Talent, and the district explicitly frames that priority around listening, learning, and continuously improving so employees are fully supported and engaged. The budget also makes compensation and staffing one of the district’s major priorities for 2025–2026, including raising starting teacher pay to $62,075, giving a 2% increase to other employees, adding market adjustments for competitive support positions, and increasing staffing in several support categories</t>
  </si>
  <si>
    <t>Medium signal because the budget document confirms that Klein separately budgets funds for accelerated instruction as required by Texas law and references targeted state allotments for areas such as bilingual, CTE, GT, compensatory education, special education, early education, dyslexia, CCMR, and school safety. The district also notes that staffing and budget allocations are adjusted to address changing student demographics and instructional support needs, but there is not a publicly visible district improvement plan laying out a detailed intervention model</t>
  </si>
  <si>
    <t>High signal because Klein publicly highlights strong CCMR performance and a broad pathways structure. The budget document states the district earned an A in College, Career, and Military Readiness (CCMR) and maintained an overall B accountability rating, while the district also advertises 62 pathways, more than 200 courses, and 10 accelerated college pathways across STEM, business/industry, public service, arts/humanities, and multidisciplinary studies. The website’s broader district messaging also emphasizes college-bound and purpose-driven outcomes, but because there is no public district DIP with detailed CCMR action steps or subgroup targets in the material reviewed, this remains high rather than very high</t>
  </si>
  <si>
    <t>Medium-to-high signal because Klein explicitly notes that staffing and allocations are adjusted in response to bilingual/ESL and special education needs, and the budget describes targeted state allotments and grant-funded staffing connected to special programs. The district profile also states that Klein offers bilingual programs at most elementary schools, provides language training for students with limited English proficiency, and increased special education staffing through IDEA funding. However, the evidence available publicly does not show a detailed districtwide subgroup-improvement strategy, explicit SPED/ELL performance targets, or a newer district improvement plan focused on these populations, so this is not strong enough to rate above medium-high.</t>
  </si>
  <si>
    <t>Medium signal because Klein’s public strategic materials emphasize High-Quality Teaching, student growth, intentionally personalized learning, and student-owned learning, all of which strongly suggest a districtwide instructional model and expectations for classroom quality. The budget also notes that the district had previously responded to a curriculum audit by moving departments toward zero-based budgeting aligned to district goals and strategic priorities</t>
  </si>
  <si>
    <t>Yes- weakly</t>
  </si>
  <si>
    <t>High signal because Klein’s 2025–2026 budget includes a distinct Grant Funds group totaling approximately $36.6 million, and the district clearly states that these funds provide supplemental resources for legally restricted purposes. The budget also references Title I, II, III, and IV adjustments, special education/IDEA staffing changes, and project-based accounting for grants</t>
  </si>
  <si>
    <t>academic excellence, equity, college/career/military readiness, literacy, problem solving, and systemwide instructional improvement. Laredo ISD’s mission and value statement explicitly emphasize high standards, literacy, higher-level problem solving, aligned rigorous curriculum, effective campus leadership, differentiated instruction, and focused monitoring of student progress. The plan is organized around four broad goals, with Goal 1 centered on excellence and equity to achieve CCMR, Goal 2 on safe and healthy learning environments, Goal 3 on parent/community relationships, and Goal 4 on organizational efficiency and financial accountability</t>
  </si>
  <si>
    <t>Very high signal because Laredo directly identifies mathematics performance as a major student-learning problem and builds measurable targets around it. The district states that only 45% of students are performing at Meets or above in STAAR Mathematics, then sets specific improvement goals to increase math performance at Approaches, Meets, and Masters levels as part of Domain I. The plan also ties math improvement to revised instructional guides, formative assessments, PLCs, walkthrough feedback, extended learning time, intervention programs, and districtwide support for at-risk populations.</t>
  </si>
  <si>
    <t>Very high signal because intervention is embedded throughout both the needs assessment and the goal strategies. Laredo repeatedly references extended learning time through after-school tutorials, Saturdays, enrichment camps, academies, summer programs, small-group interventions, accelerated instruction, online intervention tools, and tutorial plans for at-risk students. The Title I section also explicitly names Targeted Instructional Intervention and Support, MTSS and RtI, and specialized supports for diverse populations.</t>
  </si>
  <si>
    <t>Very high signal because Laredo’s DIP repeatedly frames teacher and administrator development as a core lever for student improvement. The district highlights districtwide training in content, grade-level instructional practices, classroom management, data-driven decisions, special programs, student learning objectives, and technology integration. It also names specific professional development for bilingual/ESL certification, instructional modeling through gradual release, assessment/accountability training, and special education differentiation. In the district processes section, Laredo says it is “building teacher and administrator capacity” through unpacking standards, strengthening measurable learning objectives, and improving daily instruction</t>
  </si>
  <si>
    <t>Extreme signal because college, career, and military readiness is one of the district’s defining goals and comes with exceptionally strong performance targets and implementation structures. Laredo reports a district CCMR rate of 98.1% for annual graduates compared with 70.0% for the state and sets a performance objective to maintain CCMR at 99% for all students, increase TSI readiness, increase associate degree attainment, raise dual course credits, and grow career/military readiness and industry-based certifications. The plan also includes structured supports through advanced academics, dual enrollment, TSIA2 monitoring, internships, CTE pathways, guidance/counseling, career exploration, and postsecondary planning. This is central, measurable, and systematized enough to warrant an extreme rating</t>
  </si>
  <si>
    <t>Very high signal because Laredo serves a very high-need student population — 56.9% English Learners, 10.3% Special Education, 97.1% economically disadvantaged — and the plan repeatedly includes bilingual/ESL, special education, dyslexia, Section 504, MTSS, and Results Driven Accountability supports. The district funds bilingual/ESL strategists, language/literacy coaches, Summit K-12 language development, newcomer supports, compliance systems for LPAC and EB coding, bilingual scholar recognition, bilingual/ESL certification support for teachers, and professional development targeted to emergent bilingual students</t>
  </si>
  <si>
    <t>Very high signal because Laredo places heavy emphasis on curriculum alignment, instructional coherence, and classroom implementation. The district’s CIA department is tasked with revising and implementing the district instructional guide (CARES) across Pre-K–12 content areas to ensure TEKS specificity, alignment to local and state assessments, spiraling of standards, targeted instruction, and prescriptive intervention. The district also emphasizes measurable learning objectives, exit tickets, gradual release (“I Do, We Do, You Do”), Fundamental 5, Get Better Faster, Kagan, academic vocabulary, lesson pacing, and other high-yield strategies.</t>
  </si>
  <si>
    <t>Very high signal because Laredo’s DIP is deeply tied to federal and state funding streams. The plan cites substantial use of Title I, Title III, Title IV, CTE Basic Grant, LEP Bilingual funds, Migrant funds, and State Compensatory Education to support instructional guides, intervention, bilingual coaching, tutorial plans, homeless and migrant services, technology, career awareness, discipline prevention programs, and other targeted supports</t>
  </si>
  <si>
    <t>Signals around student achievement, equity, future-ready learning, staff development, and organizational effectiveness. McAllen frames its work around educating students to be creative and digital thinkers, supporting an inclusive community, and building future-ready knowledge and skills through diverse opportunities. The plan’s structure also shows a strong focus on student achievement, people development, facilities, and finances, with heavy emphasis on improving outcomes for high-need student groups</t>
  </si>
  <si>
    <t>High signal because the district highlights persistent academic gaps in mathematics, particularly among Special Education, Emergent Bilingual, and other student groups, and identifies the need for stronger interventions and improved teaching practices.</t>
  </si>
  <si>
    <t>Very high signal because the plan repeatedly references targeted interventions, supplemental services, tutoring, and additional supports for students who are underperforming — especially homeless, military-connected, foster, migrant, bilingual, and special education students. The district explicitly links underperformance in some groups to the need for stronger support systems, better resource access, and more consistent intervention structures</t>
  </si>
  <si>
    <t>Very high signal because McAllen clearly identifies professional learning as a major improvement lever. The district states that all teachers are certified, but also notes the need for stronger pedagogy, targeted professional development, and better implementation of best practices across content areas and student populations. The plan also names specific concerns around SPED staffing, competitive salaries, professional development, and campus leadership monitoring</t>
  </si>
  <si>
    <t>Very high signal because McAllen’s plan shows strong college and career readiness infrastructure and outcomes. The district reports 94.5% CCMR, significant growth in dual enrollment, and improvement in Industry-Based Certifications (IBCs), while also identifying ongoing needs in TSI completion, AP performance, and broader high school readiness support</t>
  </si>
  <si>
    <t>Very high signal because this is one of the clearest and strongest areas of focus in the plan. McAllen serves a high percentage of English learners (33.61%) and Special Education students (17.7%), and the district explicitly identifies performance gaps for both groups in reading and math. The plan repeatedly calls for more targeted professional development, differentiated instructional strategies, accommodations, and stronger data-based monitoring to close these gaps</t>
  </si>
  <si>
    <t>Very high signal because the plan states that McAllen’s curriculum is 100% TEKS-aligned, organized into sequenced units, and tied closely to curriculum audits, benchmarks, and district assessments. The district describes curriculum, instruction, and assessment as data-driven and intentionally aligned to College and Career Readiness Standards, while also acknowledging weaknesses in assessment resources, CTE curriculum alignment, and implementation consistency</t>
  </si>
  <si>
    <t>High signal because the plan references Title I Part A, Title I Part C, Title II, and migrant parent engagement / supplemental support structures, along with funding priorities for targeted student groups. The district also clearly states a supplement-not-supplant methodology, showing that grant compliance and layered funding support are part of district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</si>
</sst>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theme="1"/>
      <name val="Segoe UI"/>
      <family val="2"/>
    </font>
    <font>
      <b/>
      <sz val="11"/>
      <color theme="1"/>
      <name val="Segoe UI"/>
      <family val="2"/>
    </font>
    <font>
      <b/>
      <sz val="12"/>
      <color theme="1"/>
      <name val="Aptos Narrow"/>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5F083"/>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5F5F5"/>
        <bgColor indexed="64"/>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top/>
      <bottom/>
      <diagonal/>
    </border>
    <border>
      <left/>
      <right style="thin">
        <color indexed="64"/>
      </right>
      <top/>
      <bottom/>
      <diagonal/>
    </border>
    <border>
      <left style="medium">
        <color rgb="FFE6E6E6"/>
      </left>
      <right style="medium">
        <color rgb="FFE6E6E6"/>
      </right>
      <top style="medium">
        <color rgb="FFE6E6E6"/>
      </top>
      <bottom style="medium">
        <color rgb="FFE6E6E6"/>
      </bottom>
      <diagonal/>
    </border>
    <border>
      <left/>
      <right style="medium">
        <color rgb="FFE6E6E6"/>
      </right>
      <top style="medium">
        <color rgb="FFE6E6E6"/>
      </top>
      <bottom style="medium">
        <color rgb="FFE6E6E6"/>
      </bottom>
      <diagonal/>
    </border>
    <border>
      <left style="thin">
        <color rgb="FF000000"/>
      </left>
      <right style="thin">
        <color rgb="FF000000"/>
      </right>
      <top style="thin">
        <color rgb="FF000000"/>
      </top>
      <bottom/>
      <diagonal/>
    </border>
    <border>
      <left/>
      <right/>
      <top/>
      <bottom style="thin">
        <color rgb="FF000000"/>
      </bottom>
      <diagonal/>
    </border>
  </borders>
  <cellStyleXfs count="2">
    <xf numFmtId="0" fontId="0" fillId="0" borderId="0"/>
    <xf numFmtId="0" fontId="2" fillId="0" borderId="0" applyNumberFormat="0" applyFill="0" applyBorder="0" applyAlignment="0" applyProtection="0"/>
  </cellStyleXfs>
  <cellXfs count="52">
    <xf numFmtId="0" fontId="0" fillId="0" borderId="0" xfId="0"/>
    <xf numFmtId="0" fontId="0" fillId="0" borderId="0" xfId="0" applyAlignment="1">
      <alignment wrapText="1"/>
    </xf>
    <xf numFmtId="0" fontId="0" fillId="3" borderId="1" xfId="0" applyFill="1" applyBorder="1" applyAlignment="1">
      <alignment wrapText="1"/>
    </xf>
    <xf numFmtId="0" fontId="0" fillId="0" borderId="1" xfId="0" applyBorder="1" applyAlignment="1">
      <alignment wrapText="1"/>
    </xf>
    <xf numFmtId="0" fontId="1" fillId="3" borderId="1" xfId="0" applyFont="1" applyFill="1" applyBorder="1" applyAlignment="1">
      <alignment wrapText="1"/>
    </xf>
    <xf numFmtId="0" fontId="1" fillId="0" borderId="1" xfId="0" applyFont="1" applyBorder="1" applyAlignment="1">
      <alignment wrapText="1"/>
    </xf>
    <xf numFmtId="0" fontId="1" fillId="2" borderId="1" xfId="0" applyFont="1" applyFill="1" applyBorder="1" applyAlignment="1">
      <alignment horizontal="center" wrapText="1"/>
    </xf>
    <xf numFmtId="9" fontId="0" fillId="0" borderId="0" xfId="0" applyNumberFormat="1" applyAlignment="1">
      <alignment wrapText="1"/>
    </xf>
    <xf numFmtId="10" fontId="0" fillId="0" borderId="0" xfId="0" applyNumberFormat="1" applyAlignment="1">
      <alignment wrapText="1"/>
    </xf>
    <xf numFmtId="0" fontId="2" fillId="0" borderId="0" xfId="1" applyAlignment="1">
      <alignment wrapText="1"/>
    </xf>
    <xf numFmtId="0" fontId="2" fillId="0" borderId="0" xfId="1" applyFill="1" applyAlignment="1">
      <alignment wrapText="1"/>
    </xf>
    <xf numFmtId="0" fontId="2" fillId="0" borderId="0" xfId="1" applyBorder="1" applyAlignment="1">
      <alignment wrapText="1"/>
    </xf>
    <xf numFmtId="0" fontId="1" fillId="2" borderId="3" xfId="0" applyFont="1" applyFill="1" applyBorder="1" applyAlignment="1">
      <alignment horizontal="center" wrapText="1"/>
    </xf>
    <xf numFmtId="0" fontId="1" fillId="2" borderId="4" xfId="0" applyFont="1" applyFill="1" applyBorder="1" applyAlignment="1">
      <alignment horizontal="center" wrapText="1"/>
    </xf>
    <xf numFmtId="0" fontId="1" fillId="2" borderId="5" xfId="0" applyFont="1" applyFill="1" applyBorder="1" applyAlignment="1">
      <alignment horizontal="center" wrapText="1"/>
    </xf>
    <xf numFmtId="0" fontId="1" fillId="2" borderId="6" xfId="0" applyFont="1" applyFill="1" applyBorder="1" applyAlignment="1">
      <alignment horizontal="center" wrapText="1"/>
    </xf>
    <xf numFmtId="0" fontId="0" fillId="0" borderId="7" xfId="0" applyBorder="1" applyAlignment="1">
      <alignment wrapText="1"/>
    </xf>
    <xf numFmtId="0" fontId="2" fillId="0" borderId="8" xfId="1" applyBorder="1" applyAlignment="1">
      <alignment wrapText="1"/>
    </xf>
    <xf numFmtId="0" fontId="0" fillId="0" borderId="8" xfId="0" applyBorder="1" applyAlignment="1">
      <alignment wrapText="1"/>
    </xf>
    <xf numFmtId="0" fontId="1" fillId="0" borderId="0" xfId="0" applyFont="1" applyAlignment="1">
      <alignment wrapText="1"/>
    </xf>
    <xf numFmtId="0" fontId="0" fillId="0" borderId="0" xfId="0" applyAlignment="1">
      <alignment vertical="top" wrapText="1"/>
    </xf>
    <xf numFmtId="0" fontId="2" fillId="0" borderId="0" xfId="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1" fillId="2" borderId="11" xfId="0" applyFont="1" applyFill="1" applyBorder="1" applyAlignment="1">
      <alignment horizontal="center" wrapText="1"/>
    </xf>
    <xf numFmtId="0" fontId="1" fillId="2" borderId="2" xfId="0" applyFont="1" applyFill="1" applyBorder="1" applyAlignment="1">
      <alignment vertical="top" wrapText="1"/>
    </xf>
    <xf numFmtId="0" fontId="1" fillId="6" borderId="0" xfId="0" applyFont="1" applyFill="1" applyAlignment="1">
      <alignment horizontal="center" wrapText="1"/>
    </xf>
    <xf numFmtId="0" fontId="1" fillId="7" borderId="0" xfId="0" applyFont="1" applyFill="1" applyAlignment="1">
      <alignment horizontal="center" wrapText="1"/>
    </xf>
    <xf numFmtId="0" fontId="1" fillId="8" borderId="0" xfId="0" applyFont="1" applyFill="1" applyAlignment="1">
      <alignment horizontal="center" wrapText="1"/>
    </xf>
    <xf numFmtId="0" fontId="1" fillId="5" borderId="0" xfId="0" applyFont="1" applyFill="1" applyAlignment="1">
      <alignment horizontal="center" wrapText="1"/>
    </xf>
    <xf numFmtId="0" fontId="1" fillId="9" borderId="0" xfId="0" applyFont="1" applyFill="1" applyAlignment="1">
      <alignment horizontal="center" wrapText="1"/>
    </xf>
    <xf numFmtId="0" fontId="1" fillId="2" borderId="12" xfId="0" applyFont="1" applyFill="1" applyBorder="1" applyAlignment="1">
      <alignment horizontal="center" wrapText="1"/>
    </xf>
    <xf numFmtId="164" fontId="1" fillId="2" borderId="1" xfId="0" applyNumberFormat="1" applyFont="1" applyFill="1" applyBorder="1" applyAlignment="1">
      <alignment horizontal="center" wrapText="1"/>
    </xf>
    <xf numFmtId="164" fontId="1" fillId="2" borderId="3" xfId="0" applyNumberFormat="1" applyFont="1" applyFill="1" applyBorder="1" applyAlignment="1">
      <alignment horizontal="center" wrapText="1"/>
    </xf>
    <xf numFmtId="164" fontId="1" fillId="2" borderId="2" xfId="0" applyNumberFormat="1" applyFont="1" applyFill="1" applyBorder="1" applyAlignment="1">
      <alignment horizontal="center" wrapText="1"/>
    </xf>
    <xf numFmtId="164" fontId="0" fillId="0" borderId="0" xfId="0" applyNumberFormat="1" applyAlignment="1">
      <alignment wrapText="1"/>
    </xf>
    <xf numFmtId="0" fontId="1" fillId="0" borderId="0" xfId="0" applyFont="1" applyAlignment="1">
      <alignment horizontal="center" wrapText="1"/>
    </xf>
    <xf numFmtId="0" fontId="1" fillId="0" borderId="0" xfId="0" applyFont="1"/>
    <xf numFmtId="0" fontId="1" fillId="0" borderId="0" xfId="0" applyFont="1" applyAlignment="1">
      <alignment horizontal="center"/>
    </xf>
    <xf numFmtId="0" fontId="0" fillId="0" borderId="0" xfId="0" applyAlignment="1">
      <alignment horizontal="center"/>
    </xf>
    <xf numFmtId="2" fontId="0" fillId="0" borderId="0" xfId="0" applyNumberFormat="1" applyAlignment="1">
      <alignment wrapText="1"/>
    </xf>
    <xf numFmtId="1" fontId="1" fillId="2" borderId="1" xfId="0" applyNumberFormat="1" applyFont="1" applyFill="1" applyBorder="1" applyAlignment="1">
      <alignment horizontal="center" wrapText="1"/>
    </xf>
    <xf numFmtId="1" fontId="0" fillId="0" borderId="0" xfId="0" applyNumberFormat="1" applyAlignment="1">
      <alignment wrapText="1"/>
    </xf>
    <xf numFmtId="2" fontId="1" fillId="2" borderId="1" xfId="0" applyNumberFormat="1" applyFont="1" applyFill="1" applyBorder="1" applyAlignment="1">
      <alignment horizontal="center" wrapText="1"/>
    </xf>
    <xf numFmtId="0" fontId="4" fillId="11" borderId="2" xfId="0" applyFont="1" applyFill="1" applyBorder="1" applyAlignment="1">
      <alignment horizontal="center" vertical="center" wrapText="1"/>
    </xf>
    <xf numFmtId="0" fontId="3" fillId="0" borderId="2" xfId="0" applyFont="1" applyBorder="1" applyAlignment="1">
      <alignment vertical="center" wrapText="1"/>
    </xf>
    <xf numFmtId="9" fontId="3" fillId="0" borderId="2" xfId="0" applyNumberFormat="1" applyFont="1" applyBorder="1" applyAlignment="1">
      <alignment vertical="center" wrapText="1"/>
    </xf>
    <xf numFmtId="0" fontId="5" fillId="4" borderId="0" xfId="0" applyFont="1" applyFill="1"/>
    <xf numFmtId="0" fontId="0" fillId="12" borderId="0" xfId="0" applyFill="1"/>
    <xf numFmtId="0" fontId="2" fillId="12" borderId="0" xfId="1" applyFill="1"/>
    <xf numFmtId="0" fontId="1" fillId="4" borderId="0" xfId="0" applyFont="1" applyFill="1" applyAlignment="1">
      <alignment horizontal="center" vertical="top" wrapText="1"/>
    </xf>
    <xf numFmtId="0" fontId="1" fillId="10" borderId="1" xfId="0" applyFont="1" applyFill="1" applyBorder="1" applyAlignment="1">
      <alignment horizontal="center" vertical="center" wrapText="1"/>
    </xf>
  </cellXfs>
  <cellStyles count="2">
    <cellStyle name="Hyperlink" xfId="1" builtinId="8"/>
    <cellStyle name="Normal" xfId="0" builtinId="0"/>
  </cellStyles>
  <dxfs count="3">
    <dxf>
      <fill>
        <patternFill>
          <bgColor theme="3" tint="0.24994659260841701"/>
        </patternFill>
      </fill>
    </dxf>
    <dxf>
      <fill>
        <patternFill>
          <bgColor theme="3" tint="0.749961851863155"/>
        </patternFill>
      </fill>
    </dxf>
    <dxf>
      <fill>
        <patternFill>
          <bgColor theme="3" tint="0.89996032593768116"/>
        </patternFill>
      </fill>
    </dxf>
  </dxfs>
  <tableStyles count="0" defaultTableStyle="TableStyleMedium2" defaultPivotStyle="PivotStyleMedium9"/>
  <colors>
    <mruColors>
      <color rgb="FFF5F083"/>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Overall Weighted Score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'Purpose &amp; Methodology'!$E$1</c:f>
              <c:strCache>
                <c:ptCount val="1"/>
                <c:pt idx="0">
                  <c:v>Weight</c:v>
                </c:pt>
              </c:strCache>
            </c:strRef>
          </c:tx>
          <c:dPt>
            <c:idx val="0"/>
            <c:bubble3D val="0"/>
            <c:explosion val="3"/>
            <c:spPr>
              <a:solidFill>
                <a:schemeClr val="tx2">
                  <a:lumMod val="75000"/>
                  <a:lumOff val="2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C4F2-4818-81BF-D4546ABF59F2}"/>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457-4641-9B62-5DCF6FD10EE8}"/>
              </c:ext>
            </c:extLst>
          </c:dPt>
          <c:dPt>
            <c:idx val="2"/>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C4F2-4818-81BF-D4546ABF59F2}"/>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'Purpose &amp; Methodology'!$D$2:$D$4</c:f>
              <c:strCache>
                <c:ptCount val="3"/>
                <c:pt idx="0">
                  <c:v>Strategic</c:v>
                </c:pt>
                <c:pt idx="1">
                  <c:v>Relationships</c:v>
                </c:pt>
                <c:pt idx="2">
                  <c:v>Contracts</c:v>
                </c:pt>
              </c:strCache>
            </c:strRef>
          </c:cat>
          <c:val>
            <c:numRef>
              <c:f>'Purpose &amp; Methodology'!$E$2:$E$4</c:f>
              <c:numCache>
                <c:formatCode>0%</c:formatCode>
                <c:ptCount val="3"/>
                <c:pt idx="0">
                  <c:v>0.7</c:v>
                </c:pt>
                <c:pt idx="1">
                  <c:v>0.15</c:v>
                </c:pt>
                <c:pt idx="2">
                  <c:v>0.15</c:v>
                </c:pt>
              </c:numCache>
            </c:numRef>
          </c:val>
          <c:extLst>
            <c:ext xmlns:c16="http://schemas.microsoft.com/office/drawing/2014/chart" uri="{C3380CC4-5D6E-409C-BE32-E72D297353CC}">
              <c16:uniqueId val="{00000000-C4F2-4818-81BF-D4546ABF59F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Strategic Weighted Score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'Purpose &amp; Methodology'!$E$10</c:f>
              <c:strCache>
                <c:ptCount val="1"/>
                <c:pt idx="0">
                  <c:v>Weight</c:v>
                </c:pt>
              </c:strCache>
            </c:strRef>
          </c:tx>
          <c:dPt>
            <c:idx val="0"/>
            <c:bubble3D val="0"/>
            <c:spPr>
              <a:solidFill>
                <a:schemeClr val="tx2">
                  <a:lumMod val="50000"/>
                  <a:lumOff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BD8-487D-97B7-8D9703AAFF2F}"/>
              </c:ext>
            </c:extLst>
          </c:dPt>
          <c:dPt>
            <c:idx val="1"/>
            <c:bubble3D val="0"/>
            <c:explosion val="2"/>
            <c:spPr>
              <a:solidFill>
                <a:schemeClr val="accent2">
                  <a:lumMod val="60000"/>
                  <a:lumOff val="4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BBD8-487D-97B7-8D9703AAFF2F}"/>
              </c:ext>
            </c:extLst>
          </c:dPt>
          <c:dPt>
            <c:idx val="2"/>
            <c:bubble3D val="0"/>
            <c:spPr>
              <a:solidFill>
                <a:schemeClr val="accent3">
                  <a:lumMod val="40000"/>
                  <a:lumOff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BD8-487D-97B7-8D9703AAFF2F}"/>
              </c:ext>
            </c:extLst>
          </c:dPt>
          <c:dPt>
            <c:idx val="3"/>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BBD8-487D-97B7-8D9703AAFF2F}"/>
              </c:ext>
            </c:extLst>
          </c:dPt>
          <c:dPt>
            <c:idx val="4"/>
            <c:bubble3D val="0"/>
            <c:spPr>
              <a:solidFill>
                <a:srgbClr val="00206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BD8-487D-97B7-8D9703AAFF2F}"/>
              </c:ext>
            </c:extLst>
          </c:dPt>
          <c:dPt>
            <c:idx val="5"/>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BBD8-487D-97B7-8D9703AAFF2F}"/>
              </c:ext>
            </c:extLst>
          </c:dPt>
          <c:dPt>
            <c:idx val="6"/>
            <c:bubble3D val="0"/>
            <c:spPr>
              <a:solidFill>
                <a:schemeClr val="accent5">
                  <a:lumMod val="60000"/>
                  <a:lumOff val="4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BD8-487D-97B7-8D9703AAFF2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'Purpose &amp; Methodology'!$D$11:$D$17</c:f>
              <c:strCache>
                <c:ptCount val="7"/>
                <c:pt idx="0">
                  <c:v>District Size</c:v>
                </c:pt>
                <c:pt idx="1">
                  <c:v>Career Fit</c:v>
                </c:pt>
                <c:pt idx="2">
                  <c:v>Math Fit</c:v>
                </c:pt>
                <c:pt idx="3">
                  <c:v>SPED/ELL</c:v>
                </c:pt>
                <c:pt idx="4">
                  <c:v>Intervention</c:v>
                </c:pt>
                <c:pt idx="5">
                  <c:v>CSI/TSI</c:v>
                </c:pt>
                <c:pt idx="6">
                  <c:v>Teacher</c:v>
                </c:pt>
              </c:strCache>
            </c:strRef>
          </c:cat>
          <c:val>
            <c:numRef>
              <c:f>'Purpose &amp; Methodology'!$E$11:$E$17</c:f>
              <c:numCache>
                <c:formatCode>0%</c:formatCode>
                <c:ptCount val="7"/>
                <c:pt idx="0">
                  <c:v>0.2</c:v>
                </c:pt>
                <c:pt idx="1">
                  <c:v>0.2</c:v>
                </c:pt>
                <c:pt idx="2">
                  <c:v>0.15</c:v>
                </c:pt>
                <c:pt idx="3">
                  <c:v>0.15</c:v>
                </c:pt>
                <c:pt idx="4">
                  <c:v>0.1</c:v>
                </c:pt>
                <c:pt idx="5">
                  <c:v>0.1</c:v>
                </c:pt>
                <c:pt idx="6">
                  <c:v>0.1</c:v>
                </c:pt>
              </c:numCache>
            </c:numRef>
          </c:val>
          <c:extLst>
            <c:ext xmlns:c16="http://schemas.microsoft.com/office/drawing/2014/chart" uri="{C3380CC4-5D6E-409C-BE32-E72D297353CC}">
              <c16:uniqueId val="{00000000-BBD8-487D-97B7-8D9703AAFF2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l"/>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19050</xdr:colOff>
      <xdr:row>0</xdr:row>
      <xdr:rowOff>0</xdr:rowOff>
    </xdr:from>
    <xdr:to>
      <xdr:col>12</xdr:col>
      <xdr:colOff>600076</xdr:colOff>
      <xdr:row>8</xdr:row>
      <xdr:rowOff>142874</xdr:rowOff>
    </xdr:to>
    <xdr:graphicFrame macro="">
      <xdr:nvGraphicFramePr>
        <xdr:cNvPr id="2" name="Chart 1">
          <a:extLst>
            <a:ext uri="{FF2B5EF4-FFF2-40B4-BE49-F238E27FC236}">
              <a16:creationId xmlns:a16="http://schemas.microsoft.com/office/drawing/2014/main" id="{E6CEA8A9-0A65-AAF7-9371-2FC419C629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8</xdr:row>
      <xdr:rowOff>161925</xdr:rowOff>
    </xdr:from>
    <xdr:to>
      <xdr:col>13</xdr:col>
      <xdr:colOff>0</xdr:colOff>
      <xdr:row>21</xdr:row>
      <xdr:rowOff>76200</xdr:rowOff>
    </xdr:to>
    <xdr:graphicFrame macro="">
      <xdr:nvGraphicFramePr>
        <xdr:cNvPr id="3" name="Chart 2">
          <a:extLst>
            <a:ext uri="{FF2B5EF4-FFF2-40B4-BE49-F238E27FC236}">
              <a16:creationId xmlns:a16="http://schemas.microsoft.com/office/drawing/2014/main" id="{79FB10A8-D54A-97F5-67BA-468E5EE79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Curtis, James" id="{74F3F131-B3F9-47ED-87F5-CA4EF0E5F35B}" userId="S::JaCurtis@pcgus.com::d197df56-5187-460c-ad22-98d9f275a4e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1" dT="2026-05-15T20:01:42.53" personId="{74F3F131-B3F9-47ED-87F5-CA4EF0E5F35B}" id="{5DD7F94F-AD70-4B13-842B-6BEC73C3940C}">
    <text>Columns F-I: Texas Tribune data 2026</text>
  </threadedComment>
  <threadedComment ref="J1" dT="2026-05-15T20:01:18.38" personId="{74F3F131-B3F9-47ED-87F5-CA4EF0E5F35B}" id="{06F53F8C-9360-499E-AF17-9614AF2CA7B3}">
    <text>NCES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planoisd.org/" TargetMode="External"/><Relationship Id="rId13" Type="http://schemas.openxmlformats.org/officeDocument/2006/relationships/hyperlink" Target="https://www.laredoisd.org/" TargetMode="External"/><Relationship Id="rId18" Type="http://schemas.openxmlformats.org/officeDocument/2006/relationships/hyperlink" Target="https://www.ideaisd.org/" TargetMode="External"/><Relationship Id="rId26" Type="http://schemas.openxmlformats.org/officeDocument/2006/relationships/hyperlink" Target="https://www.dallasisd.org/" TargetMode="External"/><Relationship Id="rId3" Type="http://schemas.openxmlformats.org/officeDocument/2006/relationships/hyperlink" Target="https://www.arlingtonisd.org/" TargetMode="External"/><Relationship Id="rId21" Type="http://schemas.openxmlformats.org/officeDocument/2006/relationships/hyperlink" Target="https://www.friscoisd.org/" TargetMode="External"/><Relationship Id="rId7" Type="http://schemas.openxmlformats.org/officeDocument/2006/relationships/hyperlink" Target="https://www.socorroisd.org/" TargetMode="External"/><Relationship Id="rId12" Type="http://schemas.openxmlformats.org/officeDocument/2006/relationships/hyperlink" Target="https://www.mcallenisd.org/" TargetMode="External"/><Relationship Id="rId17" Type="http://schemas.openxmlformats.org/officeDocument/2006/relationships/hyperlink" Target="https://www.irvingisd.org/" TargetMode="External"/><Relationship Id="rId25" Type="http://schemas.openxmlformats.org/officeDocument/2006/relationships/hyperlink" Target="https://www.dentonisd.org/" TargetMode="External"/><Relationship Id="rId2" Type="http://schemas.openxmlformats.org/officeDocument/2006/relationships/hyperlink" Target="https://drive.google.com/file/d/1Tr58kpd15v6MwjHQMC0c_2Oi_FwKFYpC/view" TargetMode="External"/><Relationship Id="rId16" Type="http://schemas.openxmlformats.org/officeDocument/2006/relationships/hyperlink" Target="https://www.katyisd.org/" TargetMode="External"/><Relationship Id="rId20" Type="http://schemas.openxmlformats.org/officeDocument/2006/relationships/hyperlink" Target="https://www.garlandisd.org/" TargetMode="External"/><Relationship Id="rId29" Type="http://schemas.openxmlformats.org/officeDocument/2006/relationships/hyperlink" Target="https://www.aisd.net/wp-content/files/Arlington-Independent-School-District-District-Plan.pdf" TargetMode="External"/><Relationship Id="rId1" Type="http://schemas.openxmlformats.org/officeDocument/2006/relationships/hyperlink" Target="https://strategicplan.aldineisd.org/" TargetMode="External"/><Relationship Id="rId6" Type="http://schemas.openxmlformats.org/officeDocument/2006/relationships/hyperlink" Target="https://www.sanisd.org/" TargetMode="External"/><Relationship Id="rId11" Type="http://schemas.openxmlformats.org/officeDocument/2006/relationships/hyperlink" Target="https://www.northisd.org/" TargetMode="External"/><Relationship Id="rId24" Type="http://schemas.openxmlformats.org/officeDocument/2006/relationships/hyperlink" Target="https://www.elisd.org/" TargetMode="External"/><Relationship Id="rId32" Type="http://schemas.microsoft.com/office/2017/10/relationships/threadedComment" Target="../threadedComments/threadedComment1.xml"/><Relationship Id="rId5" Type="http://schemas.openxmlformats.org/officeDocument/2006/relationships/hyperlink" Target="https://www.brownsvilleisd.org/" TargetMode="External"/><Relationship Id="rId15" Type="http://schemas.openxmlformats.org/officeDocument/2006/relationships/hyperlink" Target="https://www.kleinisd.org/" TargetMode="External"/><Relationship Id="rId23" Type="http://schemas.openxmlformats.org/officeDocument/2006/relationships/hyperlink" Target="https://www.fortisd.org/" TargetMode="External"/><Relationship Id="rId28" Type="http://schemas.openxmlformats.org/officeDocument/2006/relationships/hyperlink" Target="https://www.conroeisd.org/" TargetMode="External"/><Relationship Id="rId10" Type="http://schemas.openxmlformats.org/officeDocument/2006/relationships/hyperlink" Target="https://www.northsideisd.org/" TargetMode="External"/><Relationship Id="rId19" Type="http://schemas.openxmlformats.org/officeDocument/2006/relationships/hyperlink" Target="https://www.houstonisd.org/" TargetMode="External"/><Relationship Id="rId31" Type="http://schemas.openxmlformats.org/officeDocument/2006/relationships/comments" Target="../comments1.xml"/><Relationship Id="rId4" Type="http://schemas.openxmlformats.org/officeDocument/2006/relationships/hyperlink" Target="https://www.austinisd.org/" TargetMode="External"/><Relationship Id="rId9" Type="http://schemas.openxmlformats.org/officeDocument/2006/relationships/hyperlink" Target="https://www.pasadenaisd.org/" TargetMode="External"/><Relationship Id="rId14" Type="http://schemas.openxmlformats.org/officeDocument/2006/relationships/hyperlink" Target="https://www.lamarisd.org/" TargetMode="External"/><Relationship Id="rId22" Type="http://schemas.openxmlformats.org/officeDocument/2006/relationships/hyperlink" Target="https://www.fortisd.org/" TargetMode="External"/><Relationship Id="rId27" Type="http://schemas.openxmlformats.org/officeDocument/2006/relationships/hyperlink" Target="https://www.cypress-fairbanksisd.org/" TargetMode="External"/><Relationship Id="rId30"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hyperlink" Target="mailto:tybailey@aldineisd.org" TargetMode="External"/><Relationship Id="rId2" Type="http://schemas.openxmlformats.org/officeDocument/2006/relationships/hyperlink" Target="mailto:gforoi@aldineisd.org" TargetMode="External"/><Relationship Id="rId1" Type="http://schemas.openxmlformats.org/officeDocument/2006/relationships/hyperlink" Target="mailto:lmgoffney@aldineisd.org" TargetMode="External"/><Relationship Id="rId5" Type="http://schemas.openxmlformats.org/officeDocument/2006/relationships/hyperlink" Target="mailto:DNAyers@AldineISD.org" TargetMode="External"/><Relationship Id="rId4" Type="http://schemas.openxmlformats.org/officeDocument/2006/relationships/hyperlink" Target="mailto:asmartin@aldineisd.org"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files-backend.assets.thrillshare.com/documents/asset/uploaded_file/5547/Bisd/945d33fc-854e-4dc3-9c5d-51ca48eadd41/View_the_2024-2029_Strategic_Action_Plan.pdf?disposition=inline" TargetMode="External"/><Relationship Id="rId2" Type="http://schemas.openxmlformats.org/officeDocument/2006/relationships/hyperlink" Target="https://www.austinisd.org/sites/default/files/dept/strategic-plan/docs/AISD_Improvement_Plan_2025-2026.pdf" TargetMode="External"/><Relationship Id="rId1" Type="http://schemas.openxmlformats.org/officeDocument/2006/relationships/hyperlink" Target="https://www.aisd.net/wp-content/files/Arlington-Independent-School-District-District-Plan.pdf" TargetMode="External"/><Relationship Id="rId5" Type="http://schemas.openxmlformats.org/officeDocument/2006/relationships/hyperlink" Target="https://resources.finalsite.net/images/v1767901112/dallasisdorg/dallasisdorg/bkrlx3afxteovjoigu3b/districtimprovementplan.pdf" TargetMode="External"/><Relationship Id="rId4" Type="http://schemas.openxmlformats.org/officeDocument/2006/relationships/hyperlink" Target="https://drive.google.com/file/d/1zPzmykbYYCQ8xeAXq5loMdMlg_7Afgp5/view"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mailto:tmansfield@aldineisd.org" TargetMode="External"/><Relationship Id="rId13" Type="http://schemas.openxmlformats.org/officeDocument/2006/relationships/hyperlink" Target="mailto:bahernandez@bisd.us" TargetMode="External"/><Relationship Id="rId3" Type="http://schemas.openxmlformats.org/officeDocument/2006/relationships/hyperlink" Target="mailto:bdmartin@aldineisd.org" TargetMode="External"/><Relationship Id="rId7" Type="http://schemas.openxmlformats.org/officeDocument/2006/relationships/hyperlink" Target="mailto:msmith32@aisd.net" TargetMode="External"/><Relationship Id="rId12" Type="http://schemas.openxmlformats.org/officeDocument/2006/relationships/hyperlink" Target="mailto:matias.segura@austinisd.org" TargetMode="External"/><Relationship Id="rId2" Type="http://schemas.openxmlformats.org/officeDocument/2006/relationships/hyperlink" Target="mailto:fcantu@aldineisd.org" TargetMode="External"/><Relationship Id="rId16" Type="http://schemas.openxmlformats.org/officeDocument/2006/relationships/hyperlink" Target="mailto:dvinson@conroeisd.net" TargetMode="External"/><Relationship Id="rId1" Type="http://schemas.openxmlformats.org/officeDocument/2006/relationships/hyperlink" Target="mailto:lmgoffney@aldineisd.org" TargetMode="External"/><Relationship Id="rId6" Type="http://schemas.openxmlformats.org/officeDocument/2006/relationships/hyperlink" Target="mailto:tlegrand@aisd.net" TargetMode="External"/><Relationship Id="rId11" Type="http://schemas.openxmlformats.org/officeDocument/2006/relationships/hyperlink" Target="mailto:emailshayla.maxwell@austinisd.org" TargetMode="External"/><Relationship Id="rId5" Type="http://schemas.openxmlformats.org/officeDocument/2006/relationships/hyperlink" Target="mailto:dhardy1@aisd.net" TargetMode="External"/><Relationship Id="rId15" Type="http://schemas.openxmlformats.org/officeDocument/2006/relationships/hyperlink" Target="mailto:douglas.killian@cfisd.net" TargetMode="External"/><Relationship Id="rId10" Type="http://schemas.openxmlformats.org/officeDocument/2006/relationships/hyperlink" Target="mailto:tammy.caesar@austinisd.org" TargetMode="External"/><Relationship Id="rId4" Type="http://schemas.openxmlformats.org/officeDocument/2006/relationships/hyperlink" Target="mailto:cmcgowan@aisd.net" TargetMode="External"/><Relationship Id="rId9" Type="http://schemas.openxmlformats.org/officeDocument/2006/relationships/hyperlink" Target="mailto:krystal.frank@austinisd.org" TargetMode="External"/><Relationship Id="rId14" Type="http://schemas.openxmlformats.org/officeDocument/2006/relationships/hyperlink" Target="mailto:selizalde@dallasisd.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249977111117893"/>
  </sheetPr>
  <dimension ref="A1:E17"/>
  <sheetViews>
    <sheetView workbookViewId="0">
      <selection activeCell="P9" sqref="P9"/>
    </sheetView>
  </sheetViews>
  <sheetFormatPr defaultColWidth="9.109375" defaultRowHeight="14.4" x14ac:dyDescent="0.3"/>
  <cols>
    <col min="1" max="1" width="91" style="1" customWidth="1"/>
    <col min="2" max="3" width="9.109375" style="1"/>
    <col min="4" max="5" width="10.88671875" style="1" customWidth="1"/>
    <col min="6" max="16384" width="9.109375" style="1"/>
  </cols>
  <sheetData>
    <row r="1" spans="1:5" ht="16.8" x14ac:dyDescent="0.3">
      <c r="A1" s="51" t="s">
        <v>0</v>
      </c>
      <c r="D1" s="44" t="s">
        <v>1</v>
      </c>
      <c r="E1" s="44" t="s">
        <v>2</v>
      </c>
    </row>
    <row r="2" spans="1:5" ht="16.8" x14ac:dyDescent="0.3">
      <c r="A2" s="51"/>
      <c r="D2" s="45" t="s">
        <v>3</v>
      </c>
      <c r="E2" s="46">
        <v>0.7</v>
      </c>
    </row>
    <row r="3" spans="1:5" ht="33.6" x14ac:dyDescent="0.3">
      <c r="A3" s="2" t="s">
        <v>4</v>
      </c>
      <c r="D3" s="45" t="s">
        <v>5</v>
      </c>
      <c r="E3" s="46">
        <v>0.15</v>
      </c>
    </row>
    <row r="4" spans="1:5" ht="43.2" x14ac:dyDescent="0.3">
      <c r="A4" s="3" t="s">
        <v>6</v>
      </c>
      <c r="D4" s="45" t="s">
        <v>7</v>
      </c>
      <c r="E4" s="46">
        <v>0.15</v>
      </c>
    </row>
    <row r="5" spans="1:5" x14ac:dyDescent="0.3">
      <c r="A5" s="2" t="s">
        <v>8</v>
      </c>
    </row>
    <row r="6" spans="1:5" x14ac:dyDescent="0.3">
      <c r="A6" s="3" t="s">
        <v>9</v>
      </c>
    </row>
    <row r="7" spans="1:5" x14ac:dyDescent="0.3">
      <c r="A7" s="4" t="s">
        <v>10</v>
      </c>
    </row>
    <row r="8" spans="1:5" x14ac:dyDescent="0.3">
      <c r="A8" s="5" t="s">
        <v>11</v>
      </c>
    </row>
    <row r="9" spans="1:5" x14ac:dyDescent="0.3">
      <c r="A9" s="4" t="s">
        <v>12</v>
      </c>
    </row>
    <row r="10" spans="1:5" ht="28.8" x14ac:dyDescent="0.3">
      <c r="A10" s="3" t="s">
        <v>13</v>
      </c>
      <c r="D10" s="44" t="s">
        <v>1</v>
      </c>
      <c r="E10" s="44" t="s">
        <v>2</v>
      </c>
    </row>
    <row r="11" spans="1:5" ht="33.6" x14ac:dyDescent="0.3">
      <c r="D11" s="45" t="s">
        <v>14</v>
      </c>
      <c r="E11" s="46">
        <v>0.2</v>
      </c>
    </row>
    <row r="12" spans="1:5" ht="16.8" x14ac:dyDescent="0.3">
      <c r="D12" s="45" t="s">
        <v>15</v>
      </c>
      <c r="E12" s="46">
        <v>0.2</v>
      </c>
    </row>
    <row r="13" spans="1:5" ht="16.8" x14ac:dyDescent="0.3">
      <c r="D13" s="45" t="s">
        <v>16</v>
      </c>
      <c r="E13" s="46">
        <v>0.15</v>
      </c>
    </row>
    <row r="14" spans="1:5" ht="16.8" x14ac:dyDescent="0.3">
      <c r="D14" s="45" t="s">
        <v>17</v>
      </c>
      <c r="E14" s="46">
        <v>0.15</v>
      </c>
    </row>
    <row r="15" spans="1:5" ht="33.6" x14ac:dyDescent="0.3">
      <c r="D15" s="45" t="s">
        <v>18</v>
      </c>
      <c r="E15" s="46">
        <v>0.1</v>
      </c>
    </row>
    <row r="16" spans="1:5" ht="16.8" x14ac:dyDescent="0.3">
      <c r="D16" s="45" t="s">
        <v>19</v>
      </c>
      <c r="E16" s="46">
        <v>0.1</v>
      </c>
    </row>
    <row r="17" spans="4:5" ht="16.8" x14ac:dyDescent="0.3">
      <c r="D17" s="45" t="s">
        <v>20</v>
      </c>
      <c r="E17" s="46">
        <v>0.1</v>
      </c>
    </row>
  </sheetData>
  <mergeCells count="1">
    <mergeCell ref="A1:A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56074-FCEC-41F8-9902-4C7D8A1D0B27}">
  <sheetPr>
    <tabColor theme="8" tint="0.79998168889431442"/>
  </sheetPr>
  <dimension ref="A1:P28"/>
  <sheetViews>
    <sheetView zoomScale="110" zoomScaleNormal="110" workbookViewId="0">
      <pane xSplit="1" topLeftCell="E1" activePane="topRight" state="frozen"/>
      <selection pane="topRight" activeCell="A31" sqref="A31"/>
    </sheetView>
  </sheetViews>
  <sheetFormatPr defaultColWidth="9.109375" defaultRowHeight="14.4" x14ac:dyDescent="0.3"/>
  <cols>
    <col min="1" max="1" width="21" style="35" customWidth="1"/>
    <col min="2" max="14" width="14.6640625" style="35" customWidth="1"/>
    <col min="15" max="18" width="12.6640625" style="35" customWidth="1"/>
    <col min="19" max="16384" width="9.109375" style="35"/>
  </cols>
  <sheetData>
    <row r="1" spans="1:16" ht="86.4" x14ac:dyDescent="0.3">
      <c r="A1" s="32" t="s">
        <v>21</v>
      </c>
      <c r="B1" s="32" t="s">
        <v>22</v>
      </c>
      <c r="C1" s="32" t="s">
        <v>23</v>
      </c>
      <c r="D1" s="32" t="s">
        <v>24</v>
      </c>
      <c r="E1" s="32" t="s">
        <v>25</v>
      </c>
      <c r="F1" s="32" t="s">
        <v>26</v>
      </c>
      <c r="G1" s="32" t="s">
        <v>27</v>
      </c>
      <c r="H1" s="32" t="s">
        <v>28</v>
      </c>
      <c r="I1" s="32" t="s">
        <v>29</v>
      </c>
      <c r="J1" s="32" t="s">
        <v>30</v>
      </c>
      <c r="K1" s="32" t="s">
        <v>31</v>
      </c>
      <c r="L1" s="32" t="s">
        <v>32</v>
      </c>
      <c r="M1" s="32" t="s">
        <v>33</v>
      </c>
      <c r="N1" s="32" t="s">
        <v>34</v>
      </c>
      <c r="O1" s="33" t="s">
        <v>35</v>
      </c>
      <c r="P1" s="34" t="s">
        <v>36</v>
      </c>
    </row>
    <row r="2" spans="1:16" x14ac:dyDescent="0.3">
      <c r="A2" s="35" t="s">
        <v>37</v>
      </c>
      <c r="B2" s="35">
        <v>56400</v>
      </c>
      <c r="C2" s="35">
        <f>IF(B2&gt;86000,5,IF(B2&gt;64200,4,IF(B2&gt;52520,3,IF(B2&gt;43400,2,1))))</f>
        <v>3</v>
      </c>
      <c r="D2" s="35">
        <v>3.5</v>
      </c>
      <c r="E2" s="35">
        <v>4</v>
      </c>
      <c r="F2" s="35">
        <v>4.5</v>
      </c>
      <c r="G2" s="35">
        <v>3</v>
      </c>
      <c r="H2" s="35">
        <v>5</v>
      </c>
      <c r="I2" s="35">
        <v>4.5</v>
      </c>
      <c r="J2" s="35">
        <f>(C2*0.2)+(D2*0.2)+(E2*0.15)+(F2*0.15)+(G2*0.1)+(H2*0.1)+(I2*0.1)</f>
        <v>3.8250000000000002</v>
      </c>
      <c r="K2" s="35" t="s">
        <v>38</v>
      </c>
      <c r="L2" s="35">
        <f>IF(K2="Yes",5,IF(K2="No",3,))</f>
        <v>3</v>
      </c>
      <c r="M2" s="1" t="s">
        <v>39</v>
      </c>
      <c r="N2" s="35">
        <f>IF(M2="Yes",5,IF(M2="No",3,))</f>
        <v>5</v>
      </c>
      <c r="O2" s="35">
        <f>(J2*70%)+(L2*15%)+(N2*15%)</f>
        <v>3.8774999999999995</v>
      </c>
      <c r="P2" s="35" t="str">
        <f>IF(O2&gt;=4.3,"Tier 1",IF(O2&gt;=3.6,"Tier 2","Tier 3"))</f>
        <v>Tier 2</v>
      </c>
    </row>
    <row r="3" spans="1:16" x14ac:dyDescent="0.3">
      <c r="A3" s="35" t="s">
        <v>40</v>
      </c>
      <c r="B3" s="35">
        <v>53300</v>
      </c>
      <c r="C3" s="35">
        <f t="shared" ref="C3:C28" si="0">IF(B3&gt;86000,5,IF(B3&gt;64200,4,IF(B3&gt;52520,3,IF(B3&gt;43400,2,1))))</f>
        <v>3</v>
      </c>
      <c r="D3" s="35">
        <v>3</v>
      </c>
      <c r="E3" s="35">
        <v>4</v>
      </c>
      <c r="F3" s="35">
        <v>3</v>
      </c>
      <c r="G3" s="35">
        <v>2.5</v>
      </c>
      <c r="H3" s="35">
        <v>5</v>
      </c>
      <c r="I3" s="35">
        <v>4</v>
      </c>
      <c r="J3" s="35">
        <f t="shared" ref="J3:J28" si="1">(C3*0.2)+(D3*0.2)+(E3*0.15)+(F3*0.15)+(G3*0.1)+(H3*0.1)+(I3*0.1)</f>
        <v>3.4</v>
      </c>
      <c r="K3" s="35" t="s">
        <v>39</v>
      </c>
      <c r="L3" s="35">
        <f t="shared" ref="L3:L28" si="2">IF(K3="Yes",5,IF(K3="No",3,))</f>
        <v>5</v>
      </c>
      <c r="M3" s="35" t="s">
        <v>38</v>
      </c>
      <c r="N3" s="35">
        <f t="shared" ref="N3:N28" si="3">IF(M3="Yes",5,IF(M3="No",3,))</f>
        <v>3</v>
      </c>
      <c r="O3" s="35">
        <f t="shared" ref="O3:O28" si="4">(J3*70%)+(L3*15%)+(N3*15%)</f>
        <v>3.58</v>
      </c>
      <c r="P3" s="35" t="str">
        <f t="shared" ref="P3:P28" si="5">IF(O3&gt;=4.3,"Tier 1",IF(O3&gt;=3.6,"Tier 2","Tier 3"))</f>
        <v>Tier 3</v>
      </c>
    </row>
    <row r="4" spans="1:16" x14ac:dyDescent="0.3">
      <c r="A4" s="35" t="s">
        <v>41</v>
      </c>
      <c r="B4" s="35">
        <v>74000</v>
      </c>
      <c r="C4" s="35">
        <f t="shared" si="0"/>
        <v>4</v>
      </c>
      <c r="D4" s="35">
        <v>4.5</v>
      </c>
      <c r="E4" s="35">
        <v>4</v>
      </c>
      <c r="F4" s="35">
        <v>5</v>
      </c>
      <c r="G4" s="35">
        <v>3</v>
      </c>
      <c r="H4" s="35">
        <v>5</v>
      </c>
      <c r="I4" s="35">
        <v>3.5</v>
      </c>
      <c r="J4" s="35">
        <f t="shared" si="1"/>
        <v>4.2</v>
      </c>
      <c r="K4" s="35" t="s">
        <v>38</v>
      </c>
      <c r="L4" s="35">
        <f t="shared" si="2"/>
        <v>3</v>
      </c>
      <c r="M4" s="35" t="s">
        <v>38</v>
      </c>
      <c r="N4" s="35">
        <f t="shared" si="3"/>
        <v>3</v>
      </c>
      <c r="O4" s="35">
        <f t="shared" si="4"/>
        <v>3.84</v>
      </c>
      <c r="P4" s="35" t="str">
        <f t="shared" si="5"/>
        <v>Tier 2</v>
      </c>
    </row>
    <row r="5" spans="1:16" x14ac:dyDescent="0.3">
      <c r="A5" s="35" t="s">
        <v>42</v>
      </c>
      <c r="B5" s="35">
        <v>41000</v>
      </c>
      <c r="C5" s="35">
        <f t="shared" si="0"/>
        <v>1</v>
      </c>
      <c r="D5" s="35">
        <v>4.5</v>
      </c>
      <c r="E5" s="35">
        <v>3</v>
      </c>
      <c r="F5" s="35">
        <v>4</v>
      </c>
      <c r="G5" s="35">
        <v>4.5</v>
      </c>
      <c r="H5" s="35">
        <v>2</v>
      </c>
      <c r="I5" s="35">
        <v>3.5</v>
      </c>
      <c r="J5" s="35">
        <f t="shared" si="1"/>
        <v>3.1500000000000004</v>
      </c>
      <c r="K5" s="35" t="s">
        <v>38</v>
      </c>
      <c r="L5" s="35">
        <f t="shared" si="2"/>
        <v>3</v>
      </c>
      <c r="M5" s="35" t="s">
        <v>38</v>
      </c>
      <c r="N5" s="35">
        <f t="shared" si="3"/>
        <v>3</v>
      </c>
      <c r="O5" s="35">
        <f t="shared" si="4"/>
        <v>3.1050000000000004</v>
      </c>
      <c r="P5" s="35" t="str">
        <f t="shared" si="5"/>
        <v>Tier 3</v>
      </c>
    </row>
    <row r="6" spans="1:16" x14ac:dyDescent="0.3">
      <c r="A6" s="35" t="s">
        <v>43</v>
      </c>
      <c r="B6" s="35">
        <v>72000</v>
      </c>
      <c r="C6" s="35">
        <f t="shared" si="0"/>
        <v>4</v>
      </c>
      <c r="D6" s="35">
        <v>4</v>
      </c>
      <c r="E6" s="35">
        <v>3</v>
      </c>
      <c r="F6" s="35">
        <v>4.5</v>
      </c>
      <c r="G6" s="35">
        <v>4</v>
      </c>
      <c r="H6" s="35">
        <v>2</v>
      </c>
      <c r="I6" s="35">
        <v>4.5</v>
      </c>
      <c r="J6" s="35">
        <f t="shared" si="1"/>
        <v>3.7749999999999999</v>
      </c>
      <c r="K6" s="35" t="s">
        <v>38</v>
      </c>
      <c r="L6" s="35">
        <f t="shared" si="2"/>
        <v>3</v>
      </c>
      <c r="M6" s="35" t="s">
        <v>38</v>
      </c>
      <c r="N6" s="35">
        <f t="shared" si="3"/>
        <v>3</v>
      </c>
      <c r="O6" s="35">
        <f t="shared" si="4"/>
        <v>3.5424999999999995</v>
      </c>
      <c r="P6" s="35" t="str">
        <f t="shared" si="5"/>
        <v>Tier 3</v>
      </c>
    </row>
    <row r="7" spans="1:16" ht="24.75" customHeight="1" x14ac:dyDescent="0.3">
      <c r="A7" s="35" t="s">
        <v>44</v>
      </c>
      <c r="B7" s="35">
        <v>114000</v>
      </c>
      <c r="C7" s="35">
        <f t="shared" si="0"/>
        <v>5</v>
      </c>
      <c r="D7" s="35">
        <v>5</v>
      </c>
      <c r="E7" s="35">
        <v>4.5</v>
      </c>
      <c r="F7" s="35">
        <v>3</v>
      </c>
      <c r="G7" s="35">
        <v>3.5</v>
      </c>
      <c r="H7" s="35">
        <v>3</v>
      </c>
      <c r="I7" s="35">
        <v>5</v>
      </c>
      <c r="J7" s="35">
        <f t="shared" si="1"/>
        <v>4.2750000000000004</v>
      </c>
      <c r="K7" s="35" t="s">
        <v>38</v>
      </c>
      <c r="L7" s="35">
        <f t="shared" si="2"/>
        <v>3</v>
      </c>
      <c r="M7" s="1" t="s">
        <v>39</v>
      </c>
      <c r="N7" s="35">
        <f t="shared" si="3"/>
        <v>5</v>
      </c>
      <c r="O7" s="35">
        <f t="shared" si="4"/>
        <v>4.1924999999999999</v>
      </c>
      <c r="P7" s="35" t="str">
        <f t="shared" si="5"/>
        <v>Tier 2</v>
      </c>
    </row>
    <row r="8" spans="1:16" x14ac:dyDescent="0.3">
      <c r="A8" s="35" t="s">
        <v>45</v>
      </c>
      <c r="B8" s="35">
        <v>135000</v>
      </c>
      <c r="C8" s="35">
        <f t="shared" si="0"/>
        <v>5</v>
      </c>
      <c r="D8" s="35">
        <v>4.5</v>
      </c>
      <c r="E8" s="35">
        <v>4</v>
      </c>
      <c r="F8" s="35">
        <v>3</v>
      </c>
      <c r="G8" s="35">
        <v>3</v>
      </c>
      <c r="H8" s="35">
        <v>4</v>
      </c>
      <c r="I8" s="35">
        <v>3.5</v>
      </c>
      <c r="J8" s="35">
        <f t="shared" si="1"/>
        <v>4</v>
      </c>
      <c r="K8" s="35" t="s">
        <v>39</v>
      </c>
      <c r="L8" s="35">
        <f t="shared" si="2"/>
        <v>5</v>
      </c>
      <c r="M8" s="1" t="s">
        <v>39</v>
      </c>
      <c r="N8" s="35">
        <f t="shared" si="3"/>
        <v>5</v>
      </c>
      <c r="O8" s="35">
        <f t="shared" si="4"/>
        <v>4.3</v>
      </c>
      <c r="P8" s="35" t="str">
        <f t="shared" si="5"/>
        <v>Tier 1</v>
      </c>
    </row>
    <row r="9" spans="1:16" x14ac:dyDescent="0.3">
      <c r="A9" s="35" t="s">
        <v>46</v>
      </c>
      <c r="B9" s="35">
        <v>32000</v>
      </c>
      <c r="C9" s="35">
        <f t="shared" si="0"/>
        <v>1</v>
      </c>
      <c r="D9" s="35">
        <v>3.5</v>
      </c>
      <c r="E9" s="35">
        <v>5</v>
      </c>
      <c r="F9" s="35">
        <v>4</v>
      </c>
      <c r="G9" s="35">
        <v>3</v>
      </c>
      <c r="H9" s="35">
        <v>3</v>
      </c>
      <c r="I9" s="35">
        <v>4</v>
      </c>
      <c r="J9" s="35">
        <f t="shared" si="1"/>
        <v>3.2499999999999996</v>
      </c>
      <c r="K9" s="35" t="s">
        <v>39</v>
      </c>
      <c r="L9" s="35">
        <f t="shared" si="2"/>
        <v>5</v>
      </c>
      <c r="M9" s="35" t="s">
        <v>38</v>
      </c>
      <c r="N9" s="35">
        <f t="shared" si="3"/>
        <v>3</v>
      </c>
      <c r="O9" s="35">
        <f t="shared" si="4"/>
        <v>3.4749999999999996</v>
      </c>
      <c r="P9" s="35" t="str">
        <f t="shared" si="5"/>
        <v>Tier 3</v>
      </c>
    </row>
    <row r="10" spans="1:16" x14ac:dyDescent="0.3">
      <c r="A10" s="35" t="s">
        <v>47</v>
      </c>
      <c r="B10" s="35">
        <v>50000</v>
      </c>
      <c r="C10" s="35">
        <f t="shared" si="0"/>
        <v>2</v>
      </c>
      <c r="D10" s="35">
        <v>4</v>
      </c>
      <c r="E10" s="35">
        <v>4</v>
      </c>
      <c r="F10" s="35">
        <v>4.5</v>
      </c>
      <c r="G10" s="35">
        <v>3.5</v>
      </c>
      <c r="H10" s="35">
        <v>4</v>
      </c>
      <c r="I10" s="35">
        <v>4.5</v>
      </c>
      <c r="J10" s="35">
        <f t="shared" si="1"/>
        <v>3.6750000000000003</v>
      </c>
      <c r="K10" s="35" t="s">
        <v>38</v>
      </c>
      <c r="L10" s="35">
        <f t="shared" si="2"/>
        <v>3</v>
      </c>
      <c r="M10" s="35" t="s">
        <v>38</v>
      </c>
      <c r="N10" s="35">
        <f t="shared" si="3"/>
        <v>3</v>
      </c>
      <c r="O10" s="35">
        <f t="shared" si="4"/>
        <v>3.4725000000000001</v>
      </c>
      <c r="P10" s="35" t="str">
        <f t="shared" si="5"/>
        <v>Tier 3</v>
      </c>
    </row>
    <row r="11" spans="1:16" x14ac:dyDescent="0.3">
      <c r="A11" s="35" t="s">
        <v>48</v>
      </c>
      <c r="B11" s="35">
        <v>82000</v>
      </c>
      <c r="C11" s="35">
        <f t="shared" si="0"/>
        <v>4</v>
      </c>
      <c r="D11" s="35">
        <v>5</v>
      </c>
      <c r="E11" s="35">
        <v>4</v>
      </c>
      <c r="F11" s="35">
        <v>4.5</v>
      </c>
      <c r="G11" s="35">
        <v>3.5</v>
      </c>
      <c r="H11" s="35">
        <v>2</v>
      </c>
      <c r="I11" s="35">
        <v>4</v>
      </c>
      <c r="J11" s="35">
        <f t="shared" si="1"/>
        <v>4.0250000000000004</v>
      </c>
      <c r="K11" s="35" t="s">
        <v>38</v>
      </c>
      <c r="L11" s="35">
        <f t="shared" si="2"/>
        <v>3</v>
      </c>
      <c r="M11" s="1" t="s">
        <v>39</v>
      </c>
      <c r="N11" s="35">
        <f t="shared" si="3"/>
        <v>5</v>
      </c>
      <c r="O11" s="35">
        <f t="shared" si="4"/>
        <v>4.0175000000000001</v>
      </c>
      <c r="P11" s="35" t="str">
        <f t="shared" si="5"/>
        <v>Tier 2</v>
      </c>
    </row>
    <row r="12" spans="1:16" x14ac:dyDescent="0.3">
      <c r="A12" s="35" t="s">
        <v>49</v>
      </c>
      <c r="B12" s="35">
        <v>72000</v>
      </c>
      <c r="C12" s="35">
        <f t="shared" si="0"/>
        <v>4</v>
      </c>
      <c r="D12" s="35">
        <v>5</v>
      </c>
      <c r="E12" s="35">
        <v>5</v>
      </c>
      <c r="F12" s="35">
        <v>4.5</v>
      </c>
      <c r="G12" s="35">
        <v>4</v>
      </c>
      <c r="H12" s="35">
        <v>5</v>
      </c>
      <c r="I12" s="35">
        <v>5</v>
      </c>
      <c r="J12" s="35">
        <f t="shared" si="1"/>
        <v>4.625</v>
      </c>
      <c r="K12" s="35" t="s">
        <v>39</v>
      </c>
      <c r="L12" s="35">
        <f t="shared" si="2"/>
        <v>5</v>
      </c>
      <c r="M12" s="1" t="s">
        <v>39</v>
      </c>
      <c r="N12" s="35">
        <f t="shared" si="3"/>
        <v>5</v>
      </c>
      <c r="O12" s="35">
        <f t="shared" si="4"/>
        <v>4.7374999999999998</v>
      </c>
      <c r="P12" s="35" t="str">
        <f t="shared" si="5"/>
        <v>Tier 1</v>
      </c>
    </row>
    <row r="13" spans="1:16" x14ac:dyDescent="0.3">
      <c r="A13" s="35" t="s">
        <v>50</v>
      </c>
      <c r="B13" s="35">
        <v>67000</v>
      </c>
      <c r="C13" s="35">
        <f t="shared" si="0"/>
        <v>4</v>
      </c>
      <c r="H13" s="35">
        <v>1</v>
      </c>
      <c r="J13" s="35">
        <f t="shared" si="1"/>
        <v>0.9</v>
      </c>
      <c r="K13" s="35" t="s">
        <v>39</v>
      </c>
      <c r="L13" s="35">
        <f t="shared" si="2"/>
        <v>5</v>
      </c>
      <c r="M13" s="35" t="s">
        <v>38</v>
      </c>
      <c r="N13" s="35">
        <f t="shared" si="3"/>
        <v>3</v>
      </c>
      <c r="O13" s="35">
        <f t="shared" si="4"/>
        <v>1.8299999999999998</v>
      </c>
      <c r="P13" s="35" t="str">
        <f t="shared" si="5"/>
        <v>Tier 3</v>
      </c>
    </row>
    <row r="14" spans="1:16" x14ac:dyDescent="0.3">
      <c r="A14" s="35" t="s">
        <v>51</v>
      </c>
      <c r="B14" s="35">
        <v>52000</v>
      </c>
      <c r="C14" s="35">
        <f t="shared" si="0"/>
        <v>2</v>
      </c>
      <c r="D14" s="35">
        <v>4.5</v>
      </c>
      <c r="E14" s="35">
        <v>4.5</v>
      </c>
      <c r="F14" s="35">
        <v>3</v>
      </c>
      <c r="G14" s="35">
        <v>4</v>
      </c>
      <c r="H14" s="35">
        <v>3</v>
      </c>
      <c r="I14" s="35">
        <v>4</v>
      </c>
      <c r="J14" s="35">
        <f t="shared" si="1"/>
        <v>3.5249999999999999</v>
      </c>
      <c r="K14" s="35" t="s">
        <v>39</v>
      </c>
      <c r="L14" s="35">
        <f t="shared" si="2"/>
        <v>5</v>
      </c>
      <c r="M14" s="35" t="s">
        <v>38</v>
      </c>
      <c r="N14" s="35">
        <f t="shared" si="3"/>
        <v>3</v>
      </c>
      <c r="O14" s="35">
        <f t="shared" si="4"/>
        <v>3.6674999999999995</v>
      </c>
      <c r="P14" s="35" t="str">
        <f t="shared" si="5"/>
        <v>Tier 2</v>
      </c>
    </row>
    <row r="15" spans="1:16" x14ac:dyDescent="0.3">
      <c r="A15" s="35" t="s">
        <v>52</v>
      </c>
      <c r="B15" s="35">
        <v>168000</v>
      </c>
      <c r="C15" s="35">
        <f t="shared" si="0"/>
        <v>5</v>
      </c>
      <c r="D15" s="35">
        <v>5</v>
      </c>
      <c r="E15" s="35">
        <v>4.5</v>
      </c>
      <c r="F15" s="35">
        <v>5</v>
      </c>
      <c r="G15" s="35">
        <v>5</v>
      </c>
      <c r="H15" s="35">
        <v>3</v>
      </c>
      <c r="I15" s="35">
        <v>5</v>
      </c>
      <c r="J15" s="35">
        <f t="shared" si="1"/>
        <v>4.7249999999999996</v>
      </c>
      <c r="K15" s="35" t="s">
        <v>38</v>
      </c>
      <c r="L15" s="35">
        <f t="shared" si="2"/>
        <v>3</v>
      </c>
      <c r="M15" s="1" t="s">
        <v>39</v>
      </c>
      <c r="N15" s="35">
        <f t="shared" si="3"/>
        <v>5</v>
      </c>
      <c r="O15" s="35">
        <f t="shared" si="4"/>
        <v>4.5074999999999994</v>
      </c>
      <c r="P15" s="35" t="str">
        <f t="shared" si="5"/>
        <v>Tier 1</v>
      </c>
    </row>
    <row r="16" spans="1:16" x14ac:dyDescent="0.3">
      <c r="A16" s="35" t="s">
        <v>53</v>
      </c>
      <c r="B16" s="35">
        <v>87000</v>
      </c>
      <c r="C16" s="35">
        <f t="shared" si="0"/>
        <v>5</v>
      </c>
      <c r="D16" s="35">
        <v>5</v>
      </c>
      <c r="E16" s="35">
        <v>4.5</v>
      </c>
      <c r="F16" s="35">
        <v>4.5</v>
      </c>
      <c r="G16" s="35">
        <v>4.5</v>
      </c>
      <c r="H16" s="35">
        <v>2</v>
      </c>
      <c r="I16" s="35">
        <v>5</v>
      </c>
      <c r="J16" s="35">
        <f t="shared" si="1"/>
        <v>4.5</v>
      </c>
      <c r="K16" s="35" t="s">
        <v>38</v>
      </c>
      <c r="L16" s="35">
        <f t="shared" si="2"/>
        <v>3</v>
      </c>
      <c r="M16" s="35" t="s">
        <v>38</v>
      </c>
      <c r="N16" s="35">
        <f t="shared" si="3"/>
        <v>3</v>
      </c>
      <c r="O16" s="35">
        <f t="shared" si="4"/>
        <v>4.05</v>
      </c>
      <c r="P16" s="35" t="str">
        <f t="shared" si="5"/>
        <v>Tier 2</v>
      </c>
    </row>
    <row r="17" spans="1:16" x14ac:dyDescent="0.3">
      <c r="A17" s="35" t="s">
        <v>54</v>
      </c>
      <c r="B17" s="35">
        <v>35000</v>
      </c>
      <c r="C17" s="35">
        <f t="shared" si="0"/>
        <v>1</v>
      </c>
      <c r="D17" s="35">
        <v>4.5</v>
      </c>
      <c r="E17" s="35">
        <v>4</v>
      </c>
      <c r="F17" s="35">
        <v>4</v>
      </c>
      <c r="G17" s="35">
        <v>4.5</v>
      </c>
      <c r="H17" s="35">
        <v>5</v>
      </c>
      <c r="I17" s="35">
        <v>4.5</v>
      </c>
      <c r="J17" s="35">
        <f t="shared" si="1"/>
        <v>3.7000000000000006</v>
      </c>
      <c r="K17" s="35" t="s">
        <v>39</v>
      </c>
      <c r="L17" s="35">
        <f t="shared" si="2"/>
        <v>5</v>
      </c>
      <c r="M17" s="35" t="s">
        <v>38</v>
      </c>
      <c r="N17" s="35">
        <f t="shared" si="3"/>
        <v>3</v>
      </c>
      <c r="O17" s="35">
        <f t="shared" si="4"/>
        <v>3.79</v>
      </c>
      <c r="P17" s="35" t="str">
        <f t="shared" si="5"/>
        <v>Tier 2</v>
      </c>
    </row>
    <row r="18" spans="1:16" x14ac:dyDescent="0.3">
      <c r="A18" s="35" t="s">
        <v>55</v>
      </c>
      <c r="B18" s="35">
        <v>95000</v>
      </c>
      <c r="C18" s="35">
        <f t="shared" si="0"/>
        <v>5</v>
      </c>
      <c r="D18" s="35">
        <v>4.5</v>
      </c>
      <c r="E18" s="35">
        <v>4</v>
      </c>
      <c r="F18" s="35">
        <v>4</v>
      </c>
      <c r="G18" s="35">
        <v>4</v>
      </c>
      <c r="H18" s="35">
        <v>1</v>
      </c>
      <c r="I18" s="35">
        <v>4.5</v>
      </c>
      <c r="J18" s="35">
        <f t="shared" si="1"/>
        <v>4.05</v>
      </c>
      <c r="K18" s="35" t="s">
        <v>38</v>
      </c>
      <c r="L18" s="35">
        <f t="shared" si="2"/>
        <v>3</v>
      </c>
      <c r="M18" s="35" t="s">
        <v>38</v>
      </c>
      <c r="N18" s="35">
        <f t="shared" si="3"/>
        <v>3</v>
      </c>
      <c r="O18" s="35">
        <f t="shared" si="4"/>
        <v>3.7349999999999994</v>
      </c>
      <c r="P18" s="35" t="str">
        <f t="shared" si="5"/>
        <v>Tier 2</v>
      </c>
    </row>
    <row r="19" spans="1:16" x14ac:dyDescent="0.3">
      <c r="A19" s="35" t="s">
        <v>56</v>
      </c>
      <c r="B19" s="35">
        <v>54000</v>
      </c>
      <c r="C19" s="35">
        <f t="shared" si="0"/>
        <v>3</v>
      </c>
      <c r="D19" s="35">
        <v>3</v>
      </c>
      <c r="E19" s="35">
        <v>3.5</v>
      </c>
      <c r="F19" s="35">
        <v>3</v>
      </c>
      <c r="G19" s="35">
        <v>3</v>
      </c>
      <c r="H19" s="35">
        <v>1</v>
      </c>
      <c r="I19" s="35">
        <v>3</v>
      </c>
      <c r="J19" s="35">
        <f t="shared" si="1"/>
        <v>2.875</v>
      </c>
      <c r="K19" s="35" t="s">
        <v>38</v>
      </c>
      <c r="L19" s="35">
        <f t="shared" si="2"/>
        <v>3</v>
      </c>
      <c r="M19" s="35" t="s">
        <v>38</v>
      </c>
      <c r="N19" s="35">
        <f t="shared" si="3"/>
        <v>3</v>
      </c>
      <c r="O19" s="35">
        <f t="shared" si="4"/>
        <v>2.9124999999999996</v>
      </c>
      <c r="P19" s="35" t="str">
        <f t="shared" si="5"/>
        <v>Tier 3</v>
      </c>
    </row>
    <row r="20" spans="1:16" x14ac:dyDescent="0.3">
      <c r="A20" s="35" t="s">
        <v>57</v>
      </c>
      <c r="B20" s="35">
        <v>43000</v>
      </c>
      <c r="C20" s="35">
        <f t="shared" si="0"/>
        <v>1</v>
      </c>
      <c r="H20" s="35">
        <v>2</v>
      </c>
      <c r="J20" s="35">
        <f t="shared" si="1"/>
        <v>0.4</v>
      </c>
      <c r="K20" s="35" t="s">
        <v>38</v>
      </c>
      <c r="L20" s="35">
        <f t="shared" si="2"/>
        <v>3</v>
      </c>
      <c r="M20" s="35" t="s">
        <v>38</v>
      </c>
      <c r="N20" s="35">
        <f t="shared" si="3"/>
        <v>3</v>
      </c>
      <c r="O20" s="35">
        <f t="shared" si="4"/>
        <v>1.18</v>
      </c>
      <c r="P20" s="35" t="str">
        <f t="shared" si="5"/>
        <v>Tier 3</v>
      </c>
    </row>
    <row r="21" spans="1:16" x14ac:dyDescent="0.3">
      <c r="A21" s="35" t="s">
        <v>58</v>
      </c>
      <c r="B21" s="35">
        <v>23000</v>
      </c>
      <c r="C21" s="35">
        <f t="shared" si="0"/>
        <v>1</v>
      </c>
      <c r="D21" s="35">
        <v>5</v>
      </c>
      <c r="E21" s="35">
        <v>4.5</v>
      </c>
      <c r="F21" s="35">
        <v>4.5</v>
      </c>
      <c r="G21" s="35">
        <v>4.5</v>
      </c>
      <c r="H21" s="35">
        <v>1</v>
      </c>
      <c r="I21" s="35">
        <v>4.5</v>
      </c>
      <c r="J21" s="35">
        <f t="shared" si="1"/>
        <v>3.5500000000000003</v>
      </c>
      <c r="K21" s="35" t="s">
        <v>38</v>
      </c>
      <c r="L21" s="35">
        <f t="shared" si="2"/>
        <v>3</v>
      </c>
      <c r="M21" s="35" t="s">
        <v>38</v>
      </c>
      <c r="N21" s="35">
        <f t="shared" si="3"/>
        <v>3</v>
      </c>
      <c r="O21" s="35">
        <f t="shared" si="4"/>
        <v>3.3849999999999998</v>
      </c>
      <c r="P21" s="35" t="str">
        <f t="shared" si="5"/>
        <v>Tier 3</v>
      </c>
    </row>
    <row r="22" spans="1:16" x14ac:dyDescent="0.3">
      <c r="A22" s="35" t="s">
        <v>59</v>
      </c>
      <c r="B22" s="35">
        <v>20000</v>
      </c>
      <c r="C22" s="35">
        <f t="shared" si="0"/>
        <v>1</v>
      </c>
      <c r="H22" s="35">
        <v>1</v>
      </c>
      <c r="J22" s="35">
        <f t="shared" si="1"/>
        <v>0.30000000000000004</v>
      </c>
      <c r="K22" s="35" t="s">
        <v>38</v>
      </c>
      <c r="L22" s="35">
        <f t="shared" si="2"/>
        <v>3</v>
      </c>
      <c r="M22" s="35" t="s">
        <v>38</v>
      </c>
      <c r="N22" s="35">
        <f t="shared" si="3"/>
        <v>3</v>
      </c>
      <c r="O22" s="35">
        <f t="shared" si="4"/>
        <v>1.1099999999999999</v>
      </c>
      <c r="P22" s="35" t="str">
        <f t="shared" si="5"/>
        <v>Tier 3</v>
      </c>
    </row>
    <row r="23" spans="1:16" x14ac:dyDescent="0.3">
      <c r="A23" s="35" t="s">
        <v>60</v>
      </c>
      <c r="B23" s="35">
        <v>60000</v>
      </c>
      <c r="C23" s="35">
        <f t="shared" si="0"/>
        <v>3</v>
      </c>
      <c r="H23" s="35">
        <v>4</v>
      </c>
      <c r="J23" s="35">
        <f t="shared" si="1"/>
        <v>1</v>
      </c>
      <c r="K23" s="35" t="s">
        <v>38</v>
      </c>
      <c r="L23" s="35">
        <f t="shared" si="2"/>
        <v>3</v>
      </c>
      <c r="M23" s="35" t="s">
        <v>38</v>
      </c>
      <c r="N23" s="35">
        <f t="shared" si="3"/>
        <v>3</v>
      </c>
      <c r="O23" s="35">
        <f t="shared" si="4"/>
        <v>1.5999999999999999</v>
      </c>
      <c r="P23" s="35" t="str">
        <f t="shared" si="5"/>
        <v>Tier 3</v>
      </c>
    </row>
    <row r="24" spans="1:16" x14ac:dyDescent="0.3">
      <c r="A24" s="35" t="s">
        <v>61</v>
      </c>
      <c r="B24" s="35">
        <v>100000</v>
      </c>
      <c r="C24" s="35">
        <f t="shared" si="0"/>
        <v>5</v>
      </c>
      <c r="H24" s="35">
        <v>4</v>
      </c>
      <c r="J24" s="35">
        <f t="shared" si="1"/>
        <v>1.4</v>
      </c>
      <c r="K24" s="35" t="s">
        <v>38</v>
      </c>
      <c r="L24" s="35">
        <f t="shared" si="2"/>
        <v>3</v>
      </c>
      <c r="M24" s="35" t="s">
        <v>38</v>
      </c>
      <c r="N24" s="35">
        <f t="shared" si="3"/>
        <v>3</v>
      </c>
      <c r="O24" s="35">
        <f t="shared" si="4"/>
        <v>1.8799999999999997</v>
      </c>
      <c r="P24" s="35" t="str">
        <f t="shared" si="5"/>
        <v>Tier 3</v>
      </c>
    </row>
    <row r="25" spans="1:16" x14ac:dyDescent="0.3">
      <c r="A25" s="35" t="s">
        <v>62</v>
      </c>
      <c r="B25" s="35">
        <v>54000</v>
      </c>
      <c r="C25" s="35">
        <f t="shared" si="0"/>
        <v>3</v>
      </c>
      <c r="H25" s="35">
        <v>2</v>
      </c>
      <c r="J25" s="35">
        <f t="shared" si="1"/>
        <v>0.8</v>
      </c>
      <c r="K25" s="35" t="s">
        <v>38</v>
      </c>
      <c r="L25" s="35">
        <f t="shared" si="2"/>
        <v>3</v>
      </c>
      <c r="M25" s="35" t="s">
        <v>38</v>
      </c>
      <c r="N25" s="35">
        <f t="shared" si="3"/>
        <v>3</v>
      </c>
      <c r="O25" s="35">
        <f t="shared" si="4"/>
        <v>1.4599999999999997</v>
      </c>
      <c r="P25" s="35" t="str">
        <f t="shared" si="5"/>
        <v>Tier 3</v>
      </c>
    </row>
    <row r="26" spans="1:16" x14ac:dyDescent="0.3">
      <c r="A26" s="35" t="s">
        <v>63</v>
      </c>
      <c r="B26" s="35">
        <v>47000</v>
      </c>
      <c r="C26" s="35">
        <f t="shared" si="0"/>
        <v>2</v>
      </c>
      <c r="D26" s="35">
        <v>5</v>
      </c>
      <c r="E26" s="35">
        <v>4.5</v>
      </c>
      <c r="F26" s="35">
        <v>3.5</v>
      </c>
      <c r="G26" s="35">
        <v>4</v>
      </c>
      <c r="H26" s="35">
        <v>3</v>
      </c>
      <c r="I26" s="35">
        <v>4.5</v>
      </c>
      <c r="J26" s="35">
        <f t="shared" si="1"/>
        <v>3.75</v>
      </c>
      <c r="K26" s="35" t="s">
        <v>39</v>
      </c>
      <c r="L26" s="35">
        <f t="shared" si="2"/>
        <v>5</v>
      </c>
      <c r="M26" s="1" t="s">
        <v>39</v>
      </c>
      <c r="N26" s="35">
        <f t="shared" si="3"/>
        <v>5</v>
      </c>
      <c r="O26" s="35">
        <f t="shared" si="4"/>
        <v>4.125</v>
      </c>
      <c r="P26" s="35" t="str">
        <f t="shared" si="5"/>
        <v>Tier 2</v>
      </c>
    </row>
    <row r="27" spans="1:16" x14ac:dyDescent="0.3">
      <c r="A27" s="35" t="s">
        <v>64</v>
      </c>
      <c r="B27" s="35">
        <v>45000</v>
      </c>
      <c r="C27" s="35">
        <f t="shared" si="0"/>
        <v>2</v>
      </c>
      <c r="H27" s="35">
        <v>5</v>
      </c>
      <c r="J27" s="35">
        <f t="shared" si="1"/>
        <v>0.9</v>
      </c>
      <c r="K27" s="35" t="s">
        <v>38</v>
      </c>
      <c r="L27" s="35">
        <f t="shared" si="2"/>
        <v>3</v>
      </c>
      <c r="M27" s="35" t="s">
        <v>38</v>
      </c>
      <c r="N27" s="35">
        <f t="shared" si="3"/>
        <v>3</v>
      </c>
      <c r="O27" s="35">
        <f t="shared" si="4"/>
        <v>1.53</v>
      </c>
      <c r="P27" s="35" t="str">
        <f t="shared" si="5"/>
        <v>Tier 3</v>
      </c>
    </row>
    <row r="28" spans="1:16" x14ac:dyDescent="0.3">
      <c r="A28" s="35" t="s">
        <v>65</v>
      </c>
      <c r="B28" s="35">
        <v>48000</v>
      </c>
      <c r="C28" s="35">
        <f t="shared" si="0"/>
        <v>2</v>
      </c>
      <c r="H28" s="35">
        <v>3</v>
      </c>
      <c r="J28" s="35">
        <f t="shared" si="1"/>
        <v>0.70000000000000007</v>
      </c>
      <c r="K28" s="35" t="s">
        <v>38</v>
      </c>
      <c r="L28" s="35">
        <f t="shared" si="2"/>
        <v>3</v>
      </c>
      <c r="M28" s="35" t="s">
        <v>38</v>
      </c>
      <c r="N28" s="35">
        <f t="shared" si="3"/>
        <v>3</v>
      </c>
      <c r="O28" s="35">
        <f t="shared" si="4"/>
        <v>1.39</v>
      </c>
      <c r="P28" s="35" t="str">
        <f t="shared" si="5"/>
        <v>Tier 3</v>
      </c>
    </row>
  </sheetData>
  <conditionalFormatting sqref="P1:P1048576">
    <cfRule type="containsText" dxfId="2" priority="1" operator="containsText" text="Tier 3">
      <formula>NOT(ISERROR(SEARCH("Tier 3",P1)))</formula>
    </cfRule>
    <cfRule type="containsText" dxfId="1" priority="2" operator="containsText" text="Tier 2">
      <formula>NOT(ISERROR(SEARCH("Tier 2",P1)))</formula>
    </cfRule>
    <cfRule type="containsText" dxfId="0" priority="3" operator="containsText" text="Tier 1">
      <formula>NOT(ISERROR(SEARCH("Tier 1",P1)))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90D9E-5131-40D7-AAAA-863D11DA16BA}">
  <dimension ref="A1:Q144"/>
  <sheetViews>
    <sheetView workbookViewId="0">
      <selection activeCell="S137" sqref="S137"/>
    </sheetView>
  </sheetViews>
  <sheetFormatPr defaultRowHeight="14.4" x14ac:dyDescent="0.3"/>
  <cols>
    <col min="1" max="7" width="16.5546875" customWidth="1"/>
    <col min="8" max="9" width="12.109375" customWidth="1"/>
    <col min="10" max="17" width="7.5546875" customWidth="1"/>
  </cols>
  <sheetData>
    <row r="1" spans="1:17" x14ac:dyDescent="0.3">
      <c r="A1" s="37" t="s">
        <v>66</v>
      </c>
      <c r="B1" s="38" t="s">
        <v>67</v>
      </c>
      <c r="C1" s="37" t="s">
        <v>21</v>
      </c>
      <c r="D1" s="38" t="s">
        <v>68</v>
      </c>
      <c r="E1" s="37" t="s">
        <v>69</v>
      </c>
      <c r="F1" s="37" t="s">
        <v>70</v>
      </c>
      <c r="G1" s="37" t="s">
        <v>71</v>
      </c>
      <c r="H1" s="38" t="s">
        <v>72</v>
      </c>
      <c r="I1" s="38" t="s">
        <v>73</v>
      </c>
      <c r="J1" s="38" t="s">
        <v>74</v>
      </c>
      <c r="K1" s="38" t="s">
        <v>75</v>
      </c>
      <c r="L1" s="38" t="s">
        <v>76</v>
      </c>
      <c r="M1" s="38" t="s">
        <v>77</v>
      </c>
      <c r="N1" s="38" t="s">
        <v>78</v>
      </c>
      <c r="O1" s="38" t="s">
        <v>79</v>
      </c>
      <c r="P1" s="38" t="s">
        <v>80</v>
      </c>
      <c r="Q1" s="38" t="s">
        <v>81</v>
      </c>
    </row>
    <row r="2" spans="1:17" x14ac:dyDescent="0.3">
      <c r="A2" t="s">
        <v>82</v>
      </c>
      <c r="B2" s="39" t="s">
        <v>83</v>
      </c>
      <c r="C2" t="s">
        <v>84</v>
      </c>
      <c r="D2" s="39" t="s">
        <v>85</v>
      </c>
      <c r="E2" t="s">
        <v>86</v>
      </c>
      <c r="F2" t="s">
        <v>87</v>
      </c>
      <c r="G2" t="s">
        <v>88</v>
      </c>
      <c r="H2" s="39">
        <v>3</v>
      </c>
      <c r="I2" s="39" t="s">
        <v>89</v>
      </c>
      <c r="J2" s="39" t="s">
        <v>90</v>
      </c>
      <c r="K2" s="39" t="s">
        <v>90</v>
      </c>
      <c r="L2" s="39" t="s">
        <v>90</v>
      </c>
      <c r="M2" s="39" t="s">
        <v>90</v>
      </c>
      <c r="N2" s="39" t="s">
        <v>91</v>
      </c>
      <c r="O2" s="39" t="s">
        <v>92</v>
      </c>
      <c r="P2" s="39" t="s">
        <v>93</v>
      </c>
      <c r="Q2" s="39">
        <v>1</v>
      </c>
    </row>
    <row r="3" spans="1:17" x14ac:dyDescent="0.3">
      <c r="A3" t="s">
        <v>82</v>
      </c>
      <c r="B3" s="39" t="s">
        <v>83</v>
      </c>
      <c r="C3" t="s">
        <v>84</v>
      </c>
      <c r="D3" s="39" t="s">
        <v>94</v>
      </c>
      <c r="E3" t="s">
        <v>95</v>
      </c>
      <c r="F3" t="s">
        <v>96</v>
      </c>
      <c r="G3" t="s">
        <v>97</v>
      </c>
      <c r="H3" s="39">
        <v>6</v>
      </c>
      <c r="I3" s="39" t="s">
        <v>89</v>
      </c>
      <c r="J3" s="39" t="s">
        <v>91</v>
      </c>
      <c r="K3" s="39" t="s">
        <v>92</v>
      </c>
      <c r="L3" s="39" t="s">
        <v>91</v>
      </c>
      <c r="M3" s="39" t="s">
        <v>92</v>
      </c>
      <c r="N3" s="39" t="s">
        <v>92</v>
      </c>
      <c r="O3" s="39" t="s">
        <v>92</v>
      </c>
      <c r="P3" s="39" t="s">
        <v>92</v>
      </c>
      <c r="Q3" s="39">
        <v>5</v>
      </c>
    </row>
    <row r="4" spans="1:17" x14ac:dyDescent="0.3">
      <c r="A4" t="s">
        <v>82</v>
      </c>
      <c r="B4" s="39" t="s">
        <v>83</v>
      </c>
      <c r="C4" t="s">
        <v>84</v>
      </c>
      <c r="D4" s="39" t="s">
        <v>98</v>
      </c>
      <c r="E4" t="s">
        <v>99</v>
      </c>
      <c r="F4" t="s">
        <v>87</v>
      </c>
      <c r="G4" t="s">
        <v>88</v>
      </c>
      <c r="H4" s="39">
        <v>2</v>
      </c>
      <c r="I4" s="39" t="s">
        <v>89</v>
      </c>
      <c r="J4" s="39" t="s">
        <v>90</v>
      </c>
      <c r="K4" s="39" t="s">
        <v>90</v>
      </c>
      <c r="L4" s="39" t="s">
        <v>90</v>
      </c>
      <c r="M4" s="39" t="s">
        <v>90</v>
      </c>
      <c r="N4" s="39" t="s">
        <v>90</v>
      </c>
      <c r="O4" s="39" t="s">
        <v>91</v>
      </c>
      <c r="P4" s="39" t="s">
        <v>93</v>
      </c>
      <c r="Q4" s="39">
        <v>0</v>
      </c>
    </row>
    <row r="5" spans="1:17" x14ac:dyDescent="0.3">
      <c r="A5" t="s">
        <v>82</v>
      </c>
      <c r="B5" s="39" t="s">
        <v>83</v>
      </c>
      <c r="C5" t="s">
        <v>84</v>
      </c>
      <c r="D5" s="39" t="s">
        <v>100</v>
      </c>
      <c r="E5" t="s">
        <v>101</v>
      </c>
      <c r="F5" t="s">
        <v>87</v>
      </c>
      <c r="G5" t="s">
        <v>88</v>
      </c>
      <c r="H5" s="39">
        <v>2</v>
      </c>
      <c r="I5" s="39" t="s">
        <v>89</v>
      </c>
      <c r="J5" s="39" t="s">
        <v>90</v>
      </c>
      <c r="K5" s="39" t="s">
        <v>91</v>
      </c>
      <c r="L5" s="39" t="s">
        <v>91</v>
      </c>
      <c r="M5" s="39" t="s">
        <v>93</v>
      </c>
      <c r="N5" s="39" t="s">
        <v>90</v>
      </c>
      <c r="O5" s="39" t="s">
        <v>91</v>
      </c>
      <c r="P5" s="39" t="s">
        <v>93</v>
      </c>
      <c r="Q5" s="39">
        <v>0</v>
      </c>
    </row>
    <row r="6" spans="1:17" x14ac:dyDescent="0.3">
      <c r="A6" t="s">
        <v>82</v>
      </c>
      <c r="B6" s="39" t="s">
        <v>83</v>
      </c>
      <c r="C6" t="s">
        <v>84</v>
      </c>
      <c r="D6" s="39" t="s">
        <v>102</v>
      </c>
      <c r="E6" t="s">
        <v>103</v>
      </c>
      <c r="F6" t="s">
        <v>87</v>
      </c>
      <c r="G6" t="s">
        <v>88</v>
      </c>
      <c r="H6" s="39">
        <v>2</v>
      </c>
      <c r="I6" s="39" t="s">
        <v>89</v>
      </c>
      <c r="J6" s="39" t="s">
        <v>90</v>
      </c>
      <c r="K6" s="39" t="s">
        <v>90</v>
      </c>
      <c r="L6" s="39" t="s">
        <v>90</v>
      </c>
      <c r="M6" s="39" t="s">
        <v>90</v>
      </c>
      <c r="N6" s="39" t="s">
        <v>90</v>
      </c>
      <c r="O6" s="39" t="s">
        <v>91</v>
      </c>
      <c r="P6" s="39" t="s">
        <v>93</v>
      </c>
      <c r="Q6" s="39">
        <v>0</v>
      </c>
    </row>
    <row r="7" spans="1:17" x14ac:dyDescent="0.3">
      <c r="A7" t="s">
        <v>82</v>
      </c>
      <c r="B7" s="39" t="s">
        <v>83</v>
      </c>
      <c r="C7" t="s">
        <v>84</v>
      </c>
      <c r="D7" s="39" t="s">
        <v>104</v>
      </c>
      <c r="E7" t="s">
        <v>105</v>
      </c>
      <c r="F7" t="s">
        <v>87</v>
      </c>
      <c r="G7" t="s">
        <v>88</v>
      </c>
      <c r="H7" s="39">
        <v>2</v>
      </c>
      <c r="I7" s="39" t="s">
        <v>89</v>
      </c>
      <c r="J7" s="39" t="s">
        <v>90</v>
      </c>
      <c r="K7" s="39" t="s">
        <v>90</v>
      </c>
      <c r="L7" s="39" t="s">
        <v>90</v>
      </c>
      <c r="M7" s="39" t="s">
        <v>90</v>
      </c>
      <c r="N7" s="39" t="s">
        <v>90</v>
      </c>
      <c r="O7" s="39" t="s">
        <v>91</v>
      </c>
      <c r="P7" s="39" t="s">
        <v>93</v>
      </c>
      <c r="Q7" s="39">
        <v>0</v>
      </c>
    </row>
    <row r="8" spans="1:17" x14ac:dyDescent="0.3">
      <c r="A8" t="s">
        <v>82</v>
      </c>
      <c r="B8" s="39" t="s">
        <v>83</v>
      </c>
      <c r="C8" t="s">
        <v>84</v>
      </c>
      <c r="D8" s="39" t="s">
        <v>106</v>
      </c>
      <c r="E8" t="s">
        <v>107</v>
      </c>
      <c r="F8" t="s">
        <v>87</v>
      </c>
      <c r="G8" t="s">
        <v>88</v>
      </c>
      <c r="H8" s="39">
        <v>2</v>
      </c>
      <c r="I8" s="39" t="s">
        <v>89</v>
      </c>
      <c r="J8" s="39" t="s">
        <v>90</v>
      </c>
      <c r="K8" s="39" t="s">
        <v>90</v>
      </c>
      <c r="L8" s="39" t="s">
        <v>90</v>
      </c>
      <c r="M8" s="39" t="s">
        <v>90</v>
      </c>
      <c r="N8" s="39" t="s">
        <v>90</v>
      </c>
      <c r="O8" s="39" t="s">
        <v>91</v>
      </c>
      <c r="P8" s="39" t="s">
        <v>93</v>
      </c>
      <c r="Q8" s="39">
        <v>0</v>
      </c>
    </row>
    <row r="9" spans="1:17" x14ac:dyDescent="0.3">
      <c r="A9" t="s">
        <v>82</v>
      </c>
      <c r="B9" s="39" t="s">
        <v>83</v>
      </c>
      <c r="C9" t="s">
        <v>84</v>
      </c>
      <c r="D9" s="39" t="s">
        <v>108</v>
      </c>
      <c r="E9" t="s">
        <v>109</v>
      </c>
      <c r="F9" t="s">
        <v>110</v>
      </c>
      <c r="G9" t="s">
        <v>88</v>
      </c>
      <c r="H9" s="39">
        <v>3</v>
      </c>
      <c r="I9" s="39" t="s">
        <v>89</v>
      </c>
      <c r="J9" s="39" t="s">
        <v>90</v>
      </c>
      <c r="K9" s="39" t="s">
        <v>90</v>
      </c>
      <c r="L9" s="39" t="s">
        <v>90</v>
      </c>
      <c r="M9" s="39" t="s">
        <v>90</v>
      </c>
      <c r="N9" s="39" t="s">
        <v>91</v>
      </c>
      <c r="O9" s="39" t="s">
        <v>93</v>
      </c>
      <c r="P9" s="39" t="s">
        <v>91</v>
      </c>
      <c r="Q9" s="39">
        <v>1</v>
      </c>
    </row>
    <row r="10" spans="1:17" x14ac:dyDescent="0.3">
      <c r="A10" t="s">
        <v>82</v>
      </c>
      <c r="B10" s="39" t="s">
        <v>83</v>
      </c>
      <c r="C10" t="s">
        <v>84</v>
      </c>
      <c r="D10" s="39" t="s">
        <v>111</v>
      </c>
      <c r="E10" t="s">
        <v>112</v>
      </c>
      <c r="F10" t="s">
        <v>87</v>
      </c>
      <c r="G10" t="s">
        <v>88</v>
      </c>
      <c r="H10" s="39">
        <v>2</v>
      </c>
      <c r="I10" s="39" t="s">
        <v>89</v>
      </c>
      <c r="J10" s="39" t="s">
        <v>90</v>
      </c>
      <c r="K10" s="39" t="s">
        <v>90</v>
      </c>
      <c r="L10" s="39" t="s">
        <v>90</v>
      </c>
      <c r="M10" s="39" t="s">
        <v>90</v>
      </c>
      <c r="N10" s="39" t="s">
        <v>90</v>
      </c>
      <c r="O10" s="39" t="s">
        <v>91</v>
      </c>
      <c r="P10" s="39" t="s">
        <v>93</v>
      </c>
      <c r="Q10" s="39">
        <v>0</v>
      </c>
    </row>
    <row r="11" spans="1:17" x14ac:dyDescent="0.3">
      <c r="A11" t="s">
        <v>82</v>
      </c>
      <c r="B11" s="39" t="s">
        <v>83</v>
      </c>
      <c r="C11" t="s">
        <v>84</v>
      </c>
      <c r="D11" s="39" t="s">
        <v>113</v>
      </c>
      <c r="E11" t="s">
        <v>114</v>
      </c>
      <c r="F11" t="s">
        <v>87</v>
      </c>
      <c r="G11" t="s">
        <v>88</v>
      </c>
      <c r="H11" s="39">
        <v>2</v>
      </c>
      <c r="I11" s="39" t="s">
        <v>89</v>
      </c>
      <c r="J11" s="39" t="s">
        <v>90</v>
      </c>
      <c r="K11" s="39" t="s">
        <v>90</v>
      </c>
      <c r="L11" s="39" t="s">
        <v>90</v>
      </c>
      <c r="M11" s="39" t="s">
        <v>90</v>
      </c>
      <c r="N11" s="39" t="s">
        <v>90</v>
      </c>
      <c r="O11" s="39" t="s">
        <v>91</v>
      </c>
      <c r="P11" s="39" t="s">
        <v>93</v>
      </c>
      <c r="Q11" s="39">
        <v>0</v>
      </c>
    </row>
    <row r="12" spans="1:17" x14ac:dyDescent="0.3">
      <c r="A12" t="s">
        <v>115</v>
      </c>
      <c r="B12" s="39" t="s">
        <v>116</v>
      </c>
      <c r="C12" t="s">
        <v>117</v>
      </c>
      <c r="D12" s="39" t="s">
        <v>118</v>
      </c>
      <c r="E12" t="s">
        <v>119</v>
      </c>
      <c r="F12" t="s">
        <v>110</v>
      </c>
      <c r="G12" t="s">
        <v>88</v>
      </c>
      <c r="H12" s="39">
        <v>6</v>
      </c>
      <c r="I12" s="39" t="s">
        <v>89</v>
      </c>
      <c r="J12" s="39" t="s">
        <v>91</v>
      </c>
      <c r="K12" s="39" t="s">
        <v>93</v>
      </c>
      <c r="L12" s="39" t="s">
        <v>93</v>
      </c>
      <c r="M12" s="39" t="s">
        <v>91</v>
      </c>
      <c r="N12" s="39" t="s">
        <v>92</v>
      </c>
      <c r="O12" s="39" t="s">
        <v>93</v>
      </c>
      <c r="P12" s="39" t="s">
        <v>91</v>
      </c>
      <c r="Q12" s="39">
        <v>3</v>
      </c>
    </row>
    <row r="13" spans="1:17" x14ac:dyDescent="0.3">
      <c r="A13" t="s">
        <v>115</v>
      </c>
      <c r="B13" s="39" t="s">
        <v>116</v>
      </c>
      <c r="C13" t="s">
        <v>117</v>
      </c>
      <c r="D13" s="39" t="s">
        <v>120</v>
      </c>
      <c r="E13" t="s">
        <v>121</v>
      </c>
      <c r="F13" t="s">
        <v>87</v>
      </c>
      <c r="G13" t="s">
        <v>88</v>
      </c>
      <c r="H13" s="39">
        <v>2</v>
      </c>
      <c r="I13" s="39" t="s">
        <v>89</v>
      </c>
      <c r="J13" s="39" t="s">
        <v>90</v>
      </c>
      <c r="K13" s="39" t="s">
        <v>90</v>
      </c>
      <c r="L13" s="39" t="s">
        <v>90</v>
      </c>
      <c r="M13" s="39" t="s">
        <v>90</v>
      </c>
      <c r="N13" s="39" t="s">
        <v>90</v>
      </c>
      <c r="O13" s="39" t="s">
        <v>91</v>
      </c>
      <c r="P13" s="39" t="s">
        <v>93</v>
      </c>
      <c r="Q13" s="39">
        <v>0</v>
      </c>
    </row>
    <row r="14" spans="1:17" x14ac:dyDescent="0.3">
      <c r="A14" t="s">
        <v>115</v>
      </c>
      <c r="B14" s="39" t="s">
        <v>116</v>
      </c>
      <c r="C14" t="s">
        <v>117</v>
      </c>
      <c r="D14" s="39" t="s">
        <v>122</v>
      </c>
      <c r="E14" t="s">
        <v>123</v>
      </c>
      <c r="F14" t="s">
        <v>110</v>
      </c>
      <c r="G14" t="s">
        <v>88</v>
      </c>
      <c r="H14" s="39">
        <v>3</v>
      </c>
      <c r="I14" s="39" t="s">
        <v>89</v>
      </c>
      <c r="J14" s="39" t="s">
        <v>90</v>
      </c>
      <c r="K14" s="39" t="s">
        <v>90</v>
      </c>
      <c r="L14" s="39" t="s">
        <v>90</v>
      </c>
      <c r="M14" s="39" t="s">
        <v>90</v>
      </c>
      <c r="N14" s="39" t="s">
        <v>91</v>
      </c>
      <c r="O14" s="39" t="s">
        <v>93</v>
      </c>
      <c r="P14" s="39" t="s">
        <v>91</v>
      </c>
      <c r="Q14" s="39">
        <v>1</v>
      </c>
    </row>
    <row r="15" spans="1:17" x14ac:dyDescent="0.3">
      <c r="A15" t="s">
        <v>115</v>
      </c>
      <c r="B15" s="39" t="s">
        <v>116</v>
      </c>
      <c r="C15" t="s">
        <v>117</v>
      </c>
      <c r="D15" s="39" t="s">
        <v>124</v>
      </c>
      <c r="E15" t="s">
        <v>125</v>
      </c>
      <c r="F15" t="s">
        <v>110</v>
      </c>
      <c r="G15" t="s">
        <v>88</v>
      </c>
      <c r="H15" s="39">
        <v>3</v>
      </c>
      <c r="I15" s="39" t="s">
        <v>89</v>
      </c>
      <c r="J15" s="39" t="s">
        <v>90</v>
      </c>
      <c r="K15" s="39" t="s">
        <v>90</v>
      </c>
      <c r="L15" s="39" t="s">
        <v>90</v>
      </c>
      <c r="M15" s="39" t="s">
        <v>90</v>
      </c>
      <c r="N15" s="39" t="s">
        <v>91</v>
      </c>
      <c r="O15" s="39" t="s">
        <v>93</v>
      </c>
      <c r="P15" s="39" t="s">
        <v>91</v>
      </c>
      <c r="Q15" s="39">
        <v>1</v>
      </c>
    </row>
    <row r="16" spans="1:17" x14ac:dyDescent="0.3">
      <c r="A16" t="s">
        <v>115</v>
      </c>
      <c r="B16" s="39" t="s">
        <v>116</v>
      </c>
      <c r="C16" t="s">
        <v>117</v>
      </c>
      <c r="D16" s="39" t="s">
        <v>126</v>
      </c>
      <c r="E16" t="s">
        <v>127</v>
      </c>
      <c r="F16" t="s">
        <v>110</v>
      </c>
      <c r="G16" t="s">
        <v>88</v>
      </c>
      <c r="H16" s="39">
        <v>1</v>
      </c>
      <c r="I16" s="39" t="s">
        <v>89</v>
      </c>
      <c r="J16" s="39" t="s">
        <v>91</v>
      </c>
      <c r="K16" s="39" t="s">
        <v>92</v>
      </c>
      <c r="L16" s="39" t="s">
        <v>93</v>
      </c>
      <c r="M16" s="39" t="s">
        <v>90</v>
      </c>
      <c r="N16" s="39" t="s">
        <v>90</v>
      </c>
      <c r="O16" s="39" t="s">
        <v>90</v>
      </c>
      <c r="P16" s="39" t="s">
        <v>91</v>
      </c>
      <c r="Q16" s="39">
        <v>0</v>
      </c>
    </row>
    <row r="17" spans="1:17" x14ac:dyDescent="0.3">
      <c r="A17" t="s">
        <v>115</v>
      </c>
      <c r="B17" s="39" t="s">
        <v>116</v>
      </c>
      <c r="C17" t="s">
        <v>117</v>
      </c>
      <c r="D17" s="39" t="s">
        <v>128</v>
      </c>
      <c r="E17" t="s">
        <v>129</v>
      </c>
      <c r="F17" t="s">
        <v>87</v>
      </c>
      <c r="G17" t="s">
        <v>88</v>
      </c>
      <c r="H17" s="39">
        <v>2</v>
      </c>
      <c r="I17" s="39" t="s">
        <v>89</v>
      </c>
      <c r="J17" s="39" t="s">
        <v>90</v>
      </c>
      <c r="K17" s="39" t="s">
        <v>90</v>
      </c>
      <c r="L17" s="39" t="s">
        <v>90</v>
      </c>
      <c r="M17" s="39" t="s">
        <v>90</v>
      </c>
      <c r="N17" s="39" t="s">
        <v>90</v>
      </c>
      <c r="O17" s="39" t="s">
        <v>91</v>
      </c>
      <c r="P17" s="39" t="s">
        <v>93</v>
      </c>
      <c r="Q17" s="39">
        <v>0</v>
      </c>
    </row>
    <row r="18" spans="1:17" x14ac:dyDescent="0.3">
      <c r="A18" t="s">
        <v>115</v>
      </c>
      <c r="B18" s="39" t="s">
        <v>116</v>
      </c>
      <c r="C18" t="s">
        <v>117</v>
      </c>
      <c r="D18" s="39" t="s">
        <v>130</v>
      </c>
      <c r="E18" t="s">
        <v>131</v>
      </c>
      <c r="F18" t="s">
        <v>110</v>
      </c>
      <c r="G18" t="s">
        <v>88</v>
      </c>
      <c r="H18" s="39">
        <v>3</v>
      </c>
      <c r="I18" s="39" t="s">
        <v>89</v>
      </c>
      <c r="J18" s="39" t="s">
        <v>90</v>
      </c>
      <c r="K18" s="39" t="s">
        <v>90</v>
      </c>
      <c r="L18" s="39" t="s">
        <v>90</v>
      </c>
      <c r="M18" s="39" t="s">
        <v>90</v>
      </c>
      <c r="N18" s="39" t="s">
        <v>91</v>
      </c>
      <c r="O18" s="39" t="s">
        <v>93</v>
      </c>
      <c r="P18" s="39" t="s">
        <v>91</v>
      </c>
      <c r="Q18" s="39">
        <v>1</v>
      </c>
    </row>
    <row r="19" spans="1:17" x14ac:dyDescent="0.3">
      <c r="A19" t="s">
        <v>115</v>
      </c>
      <c r="B19" s="39" t="s">
        <v>116</v>
      </c>
      <c r="C19" t="s">
        <v>117</v>
      </c>
      <c r="D19" s="39" t="s">
        <v>132</v>
      </c>
      <c r="E19" t="s">
        <v>133</v>
      </c>
      <c r="F19" t="s">
        <v>87</v>
      </c>
      <c r="G19" t="s">
        <v>88</v>
      </c>
      <c r="H19" s="39">
        <v>2</v>
      </c>
      <c r="I19" s="39" t="s">
        <v>89</v>
      </c>
      <c r="J19" s="39" t="s">
        <v>90</v>
      </c>
      <c r="K19" s="39" t="s">
        <v>90</v>
      </c>
      <c r="L19" s="39" t="s">
        <v>90</v>
      </c>
      <c r="M19" s="39" t="s">
        <v>90</v>
      </c>
      <c r="N19" s="39" t="s">
        <v>90</v>
      </c>
      <c r="O19" s="39" t="s">
        <v>91</v>
      </c>
      <c r="P19" s="39" t="s">
        <v>93</v>
      </c>
      <c r="Q19" s="39">
        <v>0</v>
      </c>
    </row>
    <row r="20" spans="1:17" x14ac:dyDescent="0.3">
      <c r="A20" t="s">
        <v>134</v>
      </c>
      <c r="B20" s="39" t="s">
        <v>135</v>
      </c>
      <c r="C20" t="s">
        <v>136</v>
      </c>
      <c r="D20" s="39" t="s">
        <v>137</v>
      </c>
      <c r="E20" t="s">
        <v>138</v>
      </c>
      <c r="F20" t="s">
        <v>96</v>
      </c>
      <c r="G20" t="s">
        <v>88</v>
      </c>
      <c r="H20" s="39">
        <v>3</v>
      </c>
      <c r="I20" s="39" t="s">
        <v>89</v>
      </c>
      <c r="J20" s="39" t="s">
        <v>90</v>
      </c>
      <c r="K20" s="39" t="s">
        <v>90</v>
      </c>
      <c r="L20" s="39" t="s">
        <v>90</v>
      </c>
      <c r="M20" s="39" t="s">
        <v>90</v>
      </c>
      <c r="N20" s="39" t="s">
        <v>91</v>
      </c>
      <c r="O20" s="39" t="s">
        <v>92</v>
      </c>
      <c r="P20" s="39" t="s">
        <v>92</v>
      </c>
      <c r="Q20" s="39">
        <v>2</v>
      </c>
    </row>
    <row r="21" spans="1:17" x14ac:dyDescent="0.3">
      <c r="A21" t="s">
        <v>134</v>
      </c>
      <c r="B21" s="39" t="s">
        <v>135</v>
      </c>
      <c r="C21" t="s">
        <v>136</v>
      </c>
      <c r="D21" s="39" t="s">
        <v>139</v>
      </c>
      <c r="E21" t="s">
        <v>140</v>
      </c>
      <c r="F21" t="s">
        <v>87</v>
      </c>
      <c r="G21" t="s">
        <v>97</v>
      </c>
      <c r="H21" s="39">
        <v>3</v>
      </c>
      <c r="I21" s="39" t="s">
        <v>90</v>
      </c>
      <c r="J21" s="39" t="s">
        <v>90</v>
      </c>
      <c r="K21" s="39" t="s">
        <v>90</v>
      </c>
      <c r="L21" s="39" t="s">
        <v>90</v>
      </c>
      <c r="M21" s="39" t="s">
        <v>90</v>
      </c>
      <c r="N21" s="39" t="s">
        <v>91</v>
      </c>
      <c r="O21" s="39" t="s">
        <v>92</v>
      </c>
      <c r="P21" s="39" t="s">
        <v>93</v>
      </c>
      <c r="Q21" s="39">
        <v>1</v>
      </c>
    </row>
    <row r="22" spans="1:17" x14ac:dyDescent="0.3">
      <c r="A22" t="s">
        <v>134</v>
      </c>
      <c r="B22" s="39" t="s">
        <v>135</v>
      </c>
      <c r="C22" t="s">
        <v>136</v>
      </c>
      <c r="D22" s="39" t="s">
        <v>141</v>
      </c>
      <c r="E22" t="s">
        <v>142</v>
      </c>
      <c r="F22" t="s">
        <v>110</v>
      </c>
      <c r="G22" t="s">
        <v>88</v>
      </c>
      <c r="H22" s="39">
        <v>1</v>
      </c>
      <c r="I22" s="39" t="s">
        <v>89</v>
      </c>
      <c r="J22" s="39" t="s">
        <v>90</v>
      </c>
      <c r="K22" s="39" t="s">
        <v>91</v>
      </c>
      <c r="L22" s="39" t="s">
        <v>91</v>
      </c>
      <c r="M22" s="39" t="s">
        <v>93</v>
      </c>
      <c r="N22" s="39" t="s">
        <v>90</v>
      </c>
      <c r="O22" s="39" t="s">
        <v>90</v>
      </c>
      <c r="P22" s="39" t="s">
        <v>91</v>
      </c>
      <c r="Q22" s="39">
        <v>0</v>
      </c>
    </row>
    <row r="23" spans="1:17" x14ac:dyDescent="0.3">
      <c r="A23" t="s">
        <v>134</v>
      </c>
      <c r="B23" s="39" t="s">
        <v>135</v>
      </c>
      <c r="C23" t="s">
        <v>136</v>
      </c>
      <c r="D23" s="39" t="s">
        <v>143</v>
      </c>
      <c r="E23" t="s">
        <v>144</v>
      </c>
      <c r="F23" t="s">
        <v>87</v>
      </c>
      <c r="G23" t="s">
        <v>88</v>
      </c>
      <c r="H23" s="39">
        <v>2</v>
      </c>
      <c r="I23" s="39" t="s">
        <v>89</v>
      </c>
      <c r="J23" s="39" t="s">
        <v>90</v>
      </c>
      <c r="K23" s="39" t="s">
        <v>90</v>
      </c>
      <c r="L23" s="39" t="s">
        <v>90</v>
      </c>
      <c r="M23" s="39" t="s">
        <v>90</v>
      </c>
      <c r="N23" s="39" t="s">
        <v>90</v>
      </c>
      <c r="O23" s="39" t="s">
        <v>91</v>
      </c>
      <c r="P23" s="39" t="s">
        <v>93</v>
      </c>
      <c r="Q23" s="39">
        <v>0</v>
      </c>
    </row>
    <row r="24" spans="1:17" x14ac:dyDescent="0.3">
      <c r="A24" t="s">
        <v>134</v>
      </c>
      <c r="B24" s="39" t="s">
        <v>135</v>
      </c>
      <c r="C24" t="s">
        <v>136</v>
      </c>
      <c r="D24" s="39" t="s">
        <v>145</v>
      </c>
      <c r="E24" t="s">
        <v>146</v>
      </c>
      <c r="F24" t="s">
        <v>87</v>
      </c>
      <c r="G24" t="s">
        <v>88</v>
      </c>
      <c r="H24" s="39">
        <v>5</v>
      </c>
      <c r="I24" s="39" t="s">
        <v>89</v>
      </c>
      <c r="J24" s="39" t="s">
        <v>90</v>
      </c>
      <c r="K24" s="39" t="s">
        <v>91</v>
      </c>
      <c r="L24" s="39" t="s">
        <v>91</v>
      </c>
      <c r="M24" s="39" t="s">
        <v>92</v>
      </c>
      <c r="N24" s="39" t="s">
        <v>93</v>
      </c>
      <c r="O24" s="39" t="s">
        <v>91</v>
      </c>
      <c r="P24" s="39" t="s">
        <v>93</v>
      </c>
      <c r="Q24" s="39">
        <v>2</v>
      </c>
    </row>
    <row r="25" spans="1:17" x14ac:dyDescent="0.3">
      <c r="A25" t="s">
        <v>134</v>
      </c>
      <c r="B25" s="39" t="s">
        <v>135</v>
      </c>
      <c r="C25" t="s">
        <v>136</v>
      </c>
      <c r="D25" s="39" t="s">
        <v>147</v>
      </c>
      <c r="E25" t="s">
        <v>148</v>
      </c>
      <c r="F25" t="s">
        <v>87</v>
      </c>
      <c r="G25" t="s">
        <v>88</v>
      </c>
      <c r="H25" s="39">
        <v>2</v>
      </c>
      <c r="I25" s="39" t="s">
        <v>89</v>
      </c>
      <c r="J25" s="39" t="s">
        <v>90</v>
      </c>
      <c r="K25" s="39" t="s">
        <v>90</v>
      </c>
      <c r="L25" s="39" t="s">
        <v>90</v>
      </c>
      <c r="M25" s="39" t="s">
        <v>90</v>
      </c>
      <c r="N25" s="39" t="s">
        <v>90</v>
      </c>
      <c r="O25" s="39" t="s">
        <v>91</v>
      </c>
      <c r="P25" s="39" t="s">
        <v>93</v>
      </c>
      <c r="Q25" s="39">
        <v>0</v>
      </c>
    </row>
    <row r="26" spans="1:17" x14ac:dyDescent="0.3">
      <c r="A26" t="s">
        <v>134</v>
      </c>
      <c r="B26" s="39" t="s">
        <v>135</v>
      </c>
      <c r="C26" t="s">
        <v>136</v>
      </c>
      <c r="D26" s="39" t="s">
        <v>149</v>
      </c>
      <c r="E26" t="s">
        <v>150</v>
      </c>
      <c r="F26" t="s">
        <v>110</v>
      </c>
      <c r="G26" t="s">
        <v>88</v>
      </c>
      <c r="H26" s="39">
        <v>3</v>
      </c>
      <c r="I26" s="39" t="s">
        <v>89</v>
      </c>
      <c r="J26" s="39" t="s">
        <v>90</v>
      </c>
      <c r="K26" s="39" t="s">
        <v>90</v>
      </c>
      <c r="L26" s="39" t="s">
        <v>90</v>
      </c>
      <c r="M26" s="39" t="s">
        <v>90</v>
      </c>
      <c r="N26" s="39" t="s">
        <v>91</v>
      </c>
      <c r="O26" s="39" t="s">
        <v>93</v>
      </c>
      <c r="P26" s="39" t="s">
        <v>91</v>
      </c>
      <c r="Q26" s="39">
        <v>1</v>
      </c>
    </row>
    <row r="27" spans="1:17" x14ac:dyDescent="0.3">
      <c r="A27" t="s">
        <v>134</v>
      </c>
      <c r="B27" s="39" t="s">
        <v>135</v>
      </c>
      <c r="C27" t="s">
        <v>136</v>
      </c>
      <c r="D27" s="39" t="s">
        <v>151</v>
      </c>
      <c r="E27" t="s">
        <v>152</v>
      </c>
      <c r="F27" t="s">
        <v>87</v>
      </c>
      <c r="G27" t="s">
        <v>88</v>
      </c>
      <c r="H27" s="39">
        <v>2</v>
      </c>
      <c r="I27" s="39" t="s">
        <v>89</v>
      </c>
      <c r="J27" s="39" t="s">
        <v>90</v>
      </c>
      <c r="K27" s="39" t="s">
        <v>90</v>
      </c>
      <c r="L27" s="39" t="s">
        <v>90</v>
      </c>
      <c r="M27" s="39" t="s">
        <v>90</v>
      </c>
      <c r="N27" s="39" t="s">
        <v>90</v>
      </c>
      <c r="O27" s="39" t="s">
        <v>91</v>
      </c>
      <c r="P27" s="39" t="s">
        <v>93</v>
      </c>
      <c r="Q27" s="39">
        <v>0</v>
      </c>
    </row>
    <row r="28" spans="1:17" x14ac:dyDescent="0.3">
      <c r="A28" t="s">
        <v>134</v>
      </c>
      <c r="B28" s="39" t="s">
        <v>135</v>
      </c>
      <c r="C28" t="s">
        <v>136</v>
      </c>
      <c r="D28" s="39" t="s">
        <v>153</v>
      </c>
      <c r="E28" t="s">
        <v>154</v>
      </c>
      <c r="F28" t="s">
        <v>87</v>
      </c>
      <c r="G28" t="s">
        <v>88</v>
      </c>
      <c r="H28" s="39">
        <v>4</v>
      </c>
      <c r="I28" s="39" t="s">
        <v>89</v>
      </c>
      <c r="J28" s="39" t="s">
        <v>90</v>
      </c>
      <c r="K28" s="39" t="s">
        <v>90</v>
      </c>
      <c r="L28" s="39" t="s">
        <v>90</v>
      </c>
      <c r="M28" s="39" t="s">
        <v>91</v>
      </c>
      <c r="N28" s="39" t="s">
        <v>93</v>
      </c>
      <c r="O28" s="39" t="s">
        <v>91</v>
      </c>
      <c r="P28" s="39" t="s">
        <v>93</v>
      </c>
      <c r="Q28" s="39">
        <v>1</v>
      </c>
    </row>
    <row r="29" spans="1:17" x14ac:dyDescent="0.3">
      <c r="A29" t="s">
        <v>134</v>
      </c>
      <c r="B29" s="39" t="s">
        <v>135</v>
      </c>
      <c r="C29" t="s">
        <v>136</v>
      </c>
      <c r="D29" s="39" t="s">
        <v>155</v>
      </c>
      <c r="E29" t="s">
        <v>105</v>
      </c>
      <c r="F29" t="s">
        <v>87</v>
      </c>
      <c r="G29" t="s">
        <v>88</v>
      </c>
      <c r="H29" s="39">
        <v>2</v>
      </c>
      <c r="I29" s="39" t="s">
        <v>89</v>
      </c>
      <c r="J29" s="39" t="s">
        <v>90</v>
      </c>
      <c r="K29" s="39" t="s">
        <v>90</v>
      </c>
      <c r="L29" s="39" t="s">
        <v>90</v>
      </c>
      <c r="M29" s="39" t="s">
        <v>90</v>
      </c>
      <c r="N29" s="39" t="s">
        <v>90</v>
      </c>
      <c r="O29" s="39" t="s">
        <v>91</v>
      </c>
      <c r="P29" s="39" t="s">
        <v>93</v>
      </c>
      <c r="Q29" s="39">
        <v>0</v>
      </c>
    </row>
    <row r="30" spans="1:17" x14ac:dyDescent="0.3">
      <c r="A30" t="s">
        <v>134</v>
      </c>
      <c r="B30" s="39" t="s">
        <v>135</v>
      </c>
      <c r="C30" t="s">
        <v>136</v>
      </c>
      <c r="D30" s="39" t="s">
        <v>156</v>
      </c>
      <c r="E30" t="s">
        <v>157</v>
      </c>
      <c r="F30" t="s">
        <v>87</v>
      </c>
      <c r="G30" t="s">
        <v>88</v>
      </c>
      <c r="H30" s="39">
        <v>2</v>
      </c>
      <c r="I30" s="39" t="s">
        <v>89</v>
      </c>
      <c r="J30" s="39" t="s">
        <v>90</v>
      </c>
      <c r="K30" s="39" t="s">
        <v>90</v>
      </c>
      <c r="L30" s="39" t="s">
        <v>90</v>
      </c>
      <c r="M30" s="39" t="s">
        <v>90</v>
      </c>
      <c r="N30" s="39" t="s">
        <v>90</v>
      </c>
      <c r="O30" s="39" t="s">
        <v>91</v>
      </c>
      <c r="P30" s="39" t="s">
        <v>93</v>
      </c>
      <c r="Q30" s="39">
        <v>0</v>
      </c>
    </row>
    <row r="31" spans="1:17" x14ac:dyDescent="0.3">
      <c r="A31" t="s">
        <v>134</v>
      </c>
      <c r="B31" s="39" t="s">
        <v>135</v>
      </c>
      <c r="C31" t="s">
        <v>136</v>
      </c>
      <c r="D31" s="39" t="s">
        <v>158</v>
      </c>
      <c r="E31" t="s">
        <v>159</v>
      </c>
      <c r="F31" t="s">
        <v>110</v>
      </c>
      <c r="G31" t="s">
        <v>88</v>
      </c>
      <c r="H31" s="39">
        <v>3</v>
      </c>
      <c r="I31" s="39" t="s">
        <v>89</v>
      </c>
      <c r="J31" s="39" t="s">
        <v>90</v>
      </c>
      <c r="K31" s="39" t="s">
        <v>90</v>
      </c>
      <c r="L31" s="39" t="s">
        <v>90</v>
      </c>
      <c r="M31" s="39" t="s">
        <v>90</v>
      </c>
      <c r="N31" s="39" t="s">
        <v>91</v>
      </c>
      <c r="O31" s="39" t="s">
        <v>93</v>
      </c>
      <c r="P31" s="39" t="s">
        <v>91</v>
      </c>
      <c r="Q31" s="39">
        <v>1</v>
      </c>
    </row>
    <row r="32" spans="1:17" x14ac:dyDescent="0.3">
      <c r="A32" t="s">
        <v>134</v>
      </c>
      <c r="B32" s="39" t="s">
        <v>135</v>
      </c>
      <c r="C32" t="s">
        <v>136</v>
      </c>
      <c r="D32" s="39" t="s">
        <v>160</v>
      </c>
      <c r="E32" t="s">
        <v>161</v>
      </c>
      <c r="F32" t="s">
        <v>110</v>
      </c>
      <c r="G32" t="s">
        <v>88</v>
      </c>
      <c r="H32" s="39">
        <v>1</v>
      </c>
      <c r="I32" s="39" t="s">
        <v>89</v>
      </c>
      <c r="J32" s="39" t="s">
        <v>90</v>
      </c>
      <c r="K32" s="39" t="s">
        <v>90</v>
      </c>
      <c r="L32" s="39" t="s">
        <v>90</v>
      </c>
      <c r="M32" s="39" t="s">
        <v>91</v>
      </c>
      <c r="N32" s="39" t="s">
        <v>93</v>
      </c>
      <c r="O32" s="39" t="s">
        <v>90</v>
      </c>
      <c r="P32" s="39" t="s">
        <v>91</v>
      </c>
      <c r="Q32" s="39">
        <v>0</v>
      </c>
    </row>
    <row r="33" spans="1:17" x14ac:dyDescent="0.3">
      <c r="A33" t="s">
        <v>134</v>
      </c>
      <c r="B33" s="39" t="s">
        <v>135</v>
      </c>
      <c r="C33" t="s">
        <v>136</v>
      </c>
      <c r="D33" s="39" t="s">
        <v>162</v>
      </c>
      <c r="E33" t="s">
        <v>163</v>
      </c>
      <c r="F33" t="s">
        <v>110</v>
      </c>
      <c r="G33" t="s">
        <v>88</v>
      </c>
      <c r="H33" s="39">
        <v>3</v>
      </c>
      <c r="I33" s="39" t="s">
        <v>89</v>
      </c>
      <c r="J33" s="39" t="s">
        <v>90</v>
      </c>
      <c r="K33" s="39" t="s">
        <v>90</v>
      </c>
      <c r="L33" s="39" t="s">
        <v>90</v>
      </c>
      <c r="M33" s="39" t="s">
        <v>90</v>
      </c>
      <c r="N33" s="39" t="s">
        <v>91</v>
      </c>
      <c r="O33" s="39" t="s">
        <v>93</v>
      </c>
      <c r="P33" s="39" t="s">
        <v>91</v>
      </c>
      <c r="Q33" s="39">
        <v>1</v>
      </c>
    </row>
    <row r="34" spans="1:17" x14ac:dyDescent="0.3">
      <c r="A34" t="s">
        <v>134</v>
      </c>
      <c r="B34" s="39" t="s">
        <v>135</v>
      </c>
      <c r="C34" t="s">
        <v>136</v>
      </c>
      <c r="D34" s="39" t="s">
        <v>164</v>
      </c>
      <c r="E34" t="s">
        <v>165</v>
      </c>
      <c r="F34" t="s">
        <v>87</v>
      </c>
      <c r="G34" t="s">
        <v>88</v>
      </c>
      <c r="H34" s="39">
        <v>2</v>
      </c>
      <c r="I34" s="39" t="s">
        <v>89</v>
      </c>
      <c r="J34" s="39" t="s">
        <v>90</v>
      </c>
      <c r="K34" s="39" t="s">
        <v>90</v>
      </c>
      <c r="L34" s="39" t="s">
        <v>90</v>
      </c>
      <c r="M34" s="39" t="s">
        <v>90</v>
      </c>
      <c r="N34" s="39" t="s">
        <v>90</v>
      </c>
      <c r="O34" s="39" t="s">
        <v>91</v>
      </c>
      <c r="P34" s="39" t="s">
        <v>93</v>
      </c>
      <c r="Q34" s="39">
        <v>0</v>
      </c>
    </row>
    <row r="35" spans="1:17" x14ac:dyDescent="0.3">
      <c r="A35" t="s">
        <v>134</v>
      </c>
      <c r="B35" s="39" t="s">
        <v>135</v>
      </c>
      <c r="C35" t="s">
        <v>136</v>
      </c>
      <c r="D35" s="39" t="s">
        <v>166</v>
      </c>
      <c r="E35" t="s">
        <v>167</v>
      </c>
      <c r="F35" t="s">
        <v>110</v>
      </c>
      <c r="G35" t="s">
        <v>88</v>
      </c>
      <c r="H35" s="39">
        <v>3</v>
      </c>
      <c r="I35" s="39" t="s">
        <v>89</v>
      </c>
      <c r="J35" s="39" t="s">
        <v>90</v>
      </c>
      <c r="K35" s="39" t="s">
        <v>90</v>
      </c>
      <c r="L35" s="39" t="s">
        <v>90</v>
      </c>
      <c r="M35" s="39" t="s">
        <v>90</v>
      </c>
      <c r="N35" s="39" t="s">
        <v>91</v>
      </c>
      <c r="O35" s="39" t="s">
        <v>93</v>
      </c>
      <c r="P35" s="39" t="s">
        <v>91</v>
      </c>
      <c r="Q35" s="39">
        <v>1</v>
      </c>
    </row>
    <row r="36" spans="1:17" x14ac:dyDescent="0.3">
      <c r="A36" t="s">
        <v>134</v>
      </c>
      <c r="B36" s="39" t="s">
        <v>135</v>
      </c>
      <c r="C36" t="s">
        <v>136</v>
      </c>
      <c r="D36" s="39" t="s">
        <v>168</v>
      </c>
      <c r="E36" t="s">
        <v>169</v>
      </c>
      <c r="F36" t="s">
        <v>110</v>
      </c>
      <c r="G36" t="s">
        <v>88</v>
      </c>
      <c r="H36" s="39">
        <v>1</v>
      </c>
      <c r="I36" s="39" t="s">
        <v>89</v>
      </c>
      <c r="J36" s="39" t="s">
        <v>90</v>
      </c>
      <c r="K36" s="39" t="s">
        <v>90</v>
      </c>
      <c r="L36" s="39" t="s">
        <v>90</v>
      </c>
      <c r="M36" s="39" t="s">
        <v>90</v>
      </c>
      <c r="N36" s="39" t="s">
        <v>90</v>
      </c>
      <c r="O36" s="39" t="s">
        <v>90</v>
      </c>
      <c r="P36" s="39" t="s">
        <v>91</v>
      </c>
      <c r="Q36" s="39">
        <v>0</v>
      </c>
    </row>
    <row r="37" spans="1:17" x14ac:dyDescent="0.3">
      <c r="A37" t="s">
        <v>134</v>
      </c>
      <c r="B37" s="39" t="s">
        <v>135</v>
      </c>
      <c r="C37" t="s">
        <v>136</v>
      </c>
      <c r="D37" s="39" t="s">
        <v>170</v>
      </c>
      <c r="E37" t="s">
        <v>171</v>
      </c>
      <c r="F37" t="s">
        <v>87</v>
      </c>
      <c r="G37" t="s">
        <v>88</v>
      </c>
      <c r="H37" s="39">
        <v>2</v>
      </c>
      <c r="I37" s="39" t="s">
        <v>89</v>
      </c>
      <c r="J37" s="39" t="s">
        <v>90</v>
      </c>
      <c r="K37" s="39" t="s">
        <v>90</v>
      </c>
      <c r="L37" s="39" t="s">
        <v>90</v>
      </c>
      <c r="M37" s="39" t="s">
        <v>90</v>
      </c>
      <c r="N37" s="39" t="s">
        <v>90</v>
      </c>
      <c r="O37" s="39" t="s">
        <v>91</v>
      </c>
      <c r="P37" s="39" t="s">
        <v>93</v>
      </c>
      <c r="Q37" s="39">
        <v>0</v>
      </c>
    </row>
    <row r="38" spans="1:17" x14ac:dyDescent="0.3">
      <c r="A38" t="s">
        <v>134</v>
      </c>
      <c r="B38" s="39" t="s">
        <v>135</v>
      </c>
      <c r="C38" t="s">
        <v>136</v>
      </c>
      <c r="D38" s="39" t="s">
        <v>172</v>
      </c>
      <c r="E38" t="s">
        <v>173</v>
      </c>
      <c r="F38" t="s">
        <v>110</v>
      </c>
      <c r="G38" t="s">
        <v>88</v>
      </c>
      <c r="H38" s="39">
        <v>3</v>
      </c>
      <c r="I38" s="39" t="s">
        <v>89</v>
      </c>
      <c r="J38" s="39" t="s">
        <v>90</v>
      </c>
      <c r="K38" s="39" t="s">
        <v>90</v>
      </c>
      <c r="L38" s="39" t="s">
        <v>90</v>
      </c>
      <c r="M38" s="39" t="s">
        <v>90</v>
      </c>
      <c r="N38" s="39" t="s">
        <v>91</v>
      </c>
      <c r="O38" s="39" t="s">
        <v>93</v>
      </c>
      <c r="P38" s="39" t="s">
        <v>91</v>
      </c>
      <c r="Q38" s="39">
        <v>1</v>
      </c>
    </row>
    <row r="39" spans="1:17" x14ac:dyDescent="0.3">
      <c r="A39" t="s">
        <v>134</v>
      </c>
      <c r="B39" s="39" t="s">
        <v>135</v>
      </c>
      <c r="C39" t="s">
        <v>136</v>
      </c>
      <c r="D39" s="39" t="s">
        <v>174</v>
      </c>
      <c r="E39" t="s">
        <v>175</v>
      </c>
      <c r="F39" t="s">
        <v>96</v>
      </c>
      <c r="G39" t="s">
        <v>88</v>
      </c>
      <c r="H39" s="39">
        <v>2</v>
      </c>
      <c r="I39" s="39" t="s">
        <v>89</v>
      </c>
      <c r="J39" s="39" t="s">
        <v>90</v>
      </c>
      <c r="K39" s="39" t="s">
        <v>90</v>
      </c>
      <c r="L39" s="39" t="s">
        <v>90</v>
      </c>
      <c r="M39" s="39" t="s">
        <v>90</v>
      </c>
      <c r="N39" s="39" t="s">
        <v>90</v>
      </c>
      <c r="O39" s="39" t="s">
        <v>91</v>
      </c>
      <c r="P39" s="39" t="s">
        <v>92</v>
      </c>
      <c r="Q39" s="39">
        <v>1</v>
      </c>
    </row>
    <row r="40" spans="1:17" x14ac:dyDescent="0.3">
      <c r="A40" t="s">
        <v>134</v>
      </c>
      <c r="B40" s="39" t="s">
        <v>135</v>
      </c>
      <c r="C40" t="s">
        <v>136</v>
      </c>
      <c r="D40" s="39" t="s">
        <v>176</v>
      </c>
      <c r="E40" t="s">
        <v>177</v>
      </c>
      <c r="F40" t="s">
        <v>96</v>
      </c>
      <c r="G40" t="s">
        <v>88</v>
      </c>
      <c r="H40" s="39">
        <v>2</v>
      </c>
      <c r="I40" s="39" t="s">
        <v>89</v>
      </c>
      <c r="J40" s="39" t="s">
        <v>90</v>
      </c>
      <c r="K40" s="39" t="s">
        <v>90</v>
      </c>
      <c r="L40" s="39" t="s">
        <v>90</v>
      </c>
      <c r="M40" s="39" t="s">
        <v>90</v>
      </c>
      <c r="N40" s="39" t="s">
        <v>90</v>
      </c>
      <c r="O40" s="39" t="s">
        <v>91</v>
      </c>
      <c r="P40" s="39" t="s">
        <v>92</v>
      </c>
      <c r="Q40" s="39">
        <v>1</v>
      </c>
    </row>
    <row r="41" spans="1:17" x14ac:dyDescent="0.3">
      <c r="A41" t="s">
        <v>134</v>
      </c>
      <c r="B41" s="39" t="s">
        <v>135</v>
      </c>
      <c r="C41" t="s">
        <v>136</v>
      </c>
      <c r="D41" s="39" t="s">
        <v>178</v>
      </c>
      <c r="E41" t="s">
        <v>179</v>
      </c>
      <c r="F41" t="s">
        <v>87</v>
      </c>
      <c r="G41" t="s">
        <v>88</v>
      </c>
      <c r="H41" s="39">
        <v>2</v>
      </c>
      <c r="I41" s="39" t="s">
        <v>89</v>
      </c>
      <c r="J41" s="39" t="s">
        <v>90</v>
      </c>
      <c r="K41" s="39" t="s">
        <v>90</v>
      </c>
      <c r="L41" s="39" t="s">
        <v>90</v>
      </c>
      <c r="M41" s="39" t="s">
        <v>90</v>
      </c>
      <c r="N41" s="39" t="s">
        <v>90</v>
      </c>
      <c r="O41" s="39" t="s">
        <v>91</v>
      </c>
      <c r="P41" s="39" t="s">
        <v>93</v>
      </c>
      <c r="Q41" s="39">
        <v>0</v>
      </c>
    </row>
    <row r="42" spans="1:17" x14ac:dyDescent="0.3">
      <c r="A42" t="s">
        <v>134</v>
      </c>
      <c r="B42" s="39" t="s">
        <v>135</v>
      </c>
      <c r="C42" t="s">
        <v>136</v>
      </c>
      <c r="D42" s="39" t="s">
        <v>180</v>
      </c>
      <c r="E42" t="s">
        <v>181</v>
      </c>
      <c r="F42" t="s">
        <v>96</v>
      </c>
      <c r="G42" t="s">
        <v>88</v>
      </c>
      <c r="H42" s="39">
        <v>2</v>
      </c>
      <c r="I42" s="39" t="s">
        <v>89</v>
      </c>
      <c r="J42" s="39" t="s">
        <v>90</v>
      </c>
      <c r="K42" s="39" t="s">
        <v>90</v>
      </c>
      <c r="L42" s="39" t="s">
        <v>90</v>
      </c>
      <c r="M42" s="39" t="s">
        <v>90</v>
      </c>
      <c r="N42" s="39" t="s">
        <v>90</v>
      </c>
      <c r="O42" s="39" t="s">
        <v>91</v>
      </c>
      <c r="P42" s="39" t="s">
        <v>92</v>
      </c>
      <c r="Q42" s="39">
        <v>1</v>
      </c>
    </row>
    <row r="43" spans="1:17" x14ac:dyDescent="0.3">
      <c r="A43" t="s">
        <v>134</v>
      </c>
      <c r="B43" s="39" t="s">
        <v>135</v>
      </c>
      <c r="C43" t="s">
        <v>136</v>
      </c>
      <c r="D43" s="39" t="s">
        <v>182</v>
      </c>
      <c r="E43" t="s">
        <v>183</v>
      </c>
      <c r="F43" t="s">
        <v>110</v>
      </c>
      <c r="G43" t="s">
        <v>88</v>
      </c>
      <c r="H43" s="39">
        <v>3</v>
      </c>
      <c r="I43" s="39" t="s">
        <v>89</v>
      </c>
      <c r="J43" s="39" t="s">
        <v>90</v>
      </c>
      <c r="K43" s="39" t="s">
        <v>90</v>
      </c>
      <c r="L43" s="39" t="s">
        <v>90</v>
      </c>
      <c r="M43" s="39" t="s">
        <v>90</v>
      </c>
      <c r="N43" s="39" t="s">
        <v>91</v>
      </c>
      <c r="O43" s="39" t="s">
        <v>93</v>
      </c>
      <c r="P43" s="39" t="s">
        <v>91</v>
      </c>
      <c r="Q43" s="39">
        <v>1</v>
      </c>
    </row>
    <row r="44" spans="1:17" x14ac:dyDescent="0.3">
      <c r="A44" t="s">
        <v>134</v>
      </c>
      <c r="B44" s="39" t="s">
        <v>135</v>
      </c>
      <c r="C44" t="s">
        <v>136</v>
      </c>
      <c r="D44" s="39" t="s">
        <v>184</v>
      </c>
      <c r="E44" t="s">
        <v>185</v>
      </c>
      <c r="F44" t="s">
        <v>87</v>
      </c>
      <c r="G44" t="s">
        <v>88</v>
      </c>
      <c r="H44" s="39">
        <v>2</v>
      </c>
      <c r="I44" s="39" t="s">
        <v>89</v>
      </c>
      <c r="J44" s="39" t="s">
        <v>90</v>
      </c>
      <c r="K44" s="39" t="s">
        <v>90</v>
      </c>
      <c r="L44" s="39" t="s">
        <v>90</v>
      </c>
      <c r="M44" s="39" t="s">
        <v>90</v>
      </c>
      <c r="N44" s="39" t="s">
        <v>90</v>
      </c>
      <c r="O44" s="39" t="s">
        <v>91</v>
      </c>
      <c r="P44" s="39" t="s">
        <v>93</v>
      </c>
      <c r="Q44" s="39">
        <v>0</v>
      </c>
    </row>
    <row r="45" spans="1:17" x14ac:dyDescent="0.3">
      <c r="A45" t="s">
        <v>134</v>
      </c>
      <c r="B45" s="39" t="s">
        <v>135</v>
      </c>
      <c r="C45" t="s">
        <v>136</v>
      </c>
      <c r="D45" s="39" t="s">
        <v>186</v>
      </c>
      <c r="E45" t="s">
        <v>187</v>
      </c>
      <c r="F45" t="s">
        <v>96</v>
      </c>
      <c r="G45" t="s">
        <v>97</v>
      </c>
      <c r="H45" s="39">
        <v>2</v>
      </c>
      <c r="I45" s="39" t="s">
        <v>90</v>
      </c>
      <c r="J45" s="39" t="s">
        <v>90</v>
      </c>
      <c r="K45" s="39" t="s">
        <v>90</v>
      </c>
      <c r="L45" s="39" t="s">
        <v>90</v>
      </c>
      <c r="M45" s="39" t="s">
        <v>90</v>
      </c>
      <c r="N45" s="39" t="s">
        <v>90</v>
      </c>
      <c r="O45" s="39" t="s">
        <v>91</v>
      </c>
      <c r="P45" s="39" t="s">
        <v>92</v>
      </c>
      <c r="Q45" s="39">
        <v>1</v>
      </c>
    </row>
    <row r="46" spans="1:17" x14ac:dyDescent="0.3">
      <c r="A46" t="s">
        <v>188</v>
      </c>
      <c r="B46" s="39" t="s">
        <v>189</v>
      </c>
      <c r="C46" t="s">
        <v>190</v>
      </c>
      <c r="D46" s="39" t="s">
        <v>191</v>
      </c>
      <c r="E46" t="s">
        <v>192</v>
      </c>
      <c r="F46" t="s">
        <v>87</v>
      </c>
      <c r="G46" t="s">
        <v>88</v>
      </c>
      <c r="H46" s="39">
        <v>2</v>
      </c>
      <c r="I46" s="39" t="s">
        <v>89</v>
      </c>
      <c r="J46" s="39" t="s">
        <v>90</v>
      </c>
      <c r="K46" s="39" t="s">
        <v>90</v>
      </c>
      <c r="L46" s="39" t="s">
        <v>90</v>
      </c>
      <c r="M46" s="39" t="s">
        <v>90</v>
      </c>
      <c r="N46" s="39" t="s">
        <v>90</v>
      </c>
      <c r="O46" s="39" t="s">
        <v>91</v>
      </c>
      <c r="P46" s="39" t="s">
        <v>93</v>
      </c>
      <c r="Q46" s="39">
        <v>0</v>
      </c>
    </row>
    <row r="47" spans="1:17" x14ac:dyDescent="0.3">
      <c r="A47" t="s">
        <v>193</v>
      </c>
      <c r="B47" s="39" t="s">
        <v>194</v>
      </c>
      <c r="C47" t="s">
        <v>195</v>
      </c>
      <c r="D47" s="39" t="s">
        <v>196</v>
      </c>
      <c r="E47" t="s">
        <v>197</v>
      </c>
      <c r="F47" t="s">
        <v>110</v>
      </c>
      <c r="G47" t="s">
        <v>97</v>
      </c>
      <c r="H47" s="39">
        <v>1</v>
      </c>
      <c r="I47" s="39" t="s">
        <v>89</v>
      </c>
      <c r="J47" s="39" t="s">
        <v>90</v>
      </c>
      <c r="K47" s="39" t="s">
        <v>90</v>
      </c>
      <c r="L47" s="39" t="s">
        <v>90</v>
      </c>
      <c r="M47" s="39" t="s">
        <v>90</v>
      </c>
      <c r="N47" s="39" t="s">
        <v>90</v>
      </c>
      <c r="O47" s="39" t="s">
        <v>90</v>
      </c>
      <c r="P47" s="39" t="s">
        <v>91</v>
      </c>
      <c r="Q47" s="39">
        <v>0</v>
      </c>
    </row>
    <row r="48" spans="1:17" x14ac:dyDescent="0.3">
      <c r="A48" t="s">
        <v>193</v>
      </c>
      <c r="B48" s="39" t="s">
        <v>194</v>
      </c>
      <c r="C48" t="s">
        <v>195</v>
      </c>
      <c r="D48" s="39" t="s">
        <v>198</v>
      </c>
      <c r="E48" t="s">
        <v>199</v>
      </c>
      <c r="F48" t="s">
        <v>87</v>
      </c>
      <c r="G48" t="s">
        <v>88</v>
      </c>
      <c r="H48" s="39">
        <v>2</v>
      </c>
      <c r="I48" s="39" t="s">
        <v>89</v>
      </c>
      <c r="J48" s="39" t="s">
        <v>90</v>
      </c>
      <c r="K48" s="39" t="s">
        <v>90</v>
      </c>
      <c r="L48" s="39" t="s">
        <v>90</v>
      </c>
      <c r="M48" s="39" t="s">
        <v>90</v>
      </c>
      <c r="N48" s="39" t="s">
        <v>90</v>
      </c>
      <c r="O48" s="39" t="s">
        <v>91</v>
      </c>
      <c r="P48" s="39" t="s">
        <v>93</v>
      </c>
      <c r="Q48" s="39">
        <v>0</v>
      </c>
    </row>
    <row r="49" spans="1:17" x14ac:dyDescent="0.3">
      <c r="A49" t="s">
        <v>193</v>
      </c>
      <c r="B49" s="39" t="s">
        <v>194</v>
      </c>
      <c r="C49" t="s">
        <v>195</v>
      </c>
      <c r="D49" s="39" t="s">
        <v>200</v>
      </c>
      <c r="E49" t="s">
        <v>201</v>
      </c>
      <c r="F49" t="s">
        <v>87</v>
      </c>
      <c r="G49" t="s">
        <v>88</v>
      </c>
      <c r="H49" s="39">
        <v>2</v>
      </c>
      <c r="I49" s="39" t="s">
        <v>89</v>
      </c>
      <c r="J49" s="39" t="s">
        <v>90</v>
      </c>
      <c r="K49" s="39" t="s">
        <v>90</v>
      </c>
      <c r="L49" s="39" t="s">
        <v>90</v>
      </c>
      <c r="M49" s="39" t="s">
        <v>90</v>
      </c>
      <c r="N49" s="39" t="s">
        <v>90</v>
      </c>
      <c r="O49" s="39" t="s">
        <v>91</v>
      </c>
      <c r="P49" s="39" t="s">
        <v>93</v>
      </c>
      <c r="Q49" s="39">
        <v>0</v>
      </c>
    </row>
    <row r="50" spans="1:17" x14ac:dyDescent="0.3">
      <c r="A50" t="s">
        <v>193</v>
      </c>
      <c r="B50" s="39" t="s">
        <v>194</v>
      </c>
      <c r="C50" t="s">
        <v>195</v>
      </c>
      <c r="D50" s="39" t="s">
        <v>202</v>
      </c>
      <c r="E50" t="s">
        <v>203</v>
      </c>
      <c r="F50" t="s">
        <v>87</v>
      </c>
      <c r="G50" t="s">
        <v>88</v>
      </c>
      <c r="H50" s="39">
        <v>2</v>
      </c>
      <c r="I50" s="39" t="s">
        <v>89</v>
      </c>
      <c r="J50" s="39" t="s">
        <v>90</v>
      </c>
      <c r="K50" s="39" t="s">
        <v>90</v>
      </c>
      <c r="L50" s="39" t="s">
        <v>90</v>
      </c>
      <c r="M50" s="39" t="s">
        <v>90</v>
      </c>
      <c r="N50" s="39" t="s">
        <v>90</v>
      </c>
      <c r="O50" s="39" t="s">
        <v>91</v>
      </c>
      <c r="P50" s="39" t="s">
        <v>93</v>
      </c>
      <c r="Q50" s="39">
        <v>0</v>
      </c>
    </row>
    <row r="51" spans="1:17" x14ac:dyDescent="0.3">
      <c r="A51" t="s">
        <v>193</v>
      </c>
      <c r="B51" s="39" t="s">
        <v>194</v>
      </c>
      <c r="C51" t="s">
        <v>195</v>
      </c>
      <c r="D51" s="39" t="s">
        <v>204</v>
      </c>
      <c r="E51" t="s">
        <v>205</v>
      </c>
      <c r="F51" t="s">
        <v>87</v>
      </c>
      <c r="G51" t="s">
        <v>88</v>
      </c>
      <c r="H51" s="39">
        <v>4</v>
      </c>
      <c r="I51" s="39" t="s">
        <v>89</v>
      </c>
      <c r="J51" s="39" t="s">
        <v>90</v>
      </c>
      <c r="K51" s="39" t="s">
        <v>90</v>
      </c>
      <c r="L51" s="39" t="s">
        <v>90</v>
      </c>
      <c r="M51" s="39" t="s">
        <v>91</v>
      </c>
      <c r="N51" s="39" t="s">
        <v>93</v>
      </c>
      <c r="O51" s="39" t="s">
        <v>91</v>
      </c>
      <c r="P51" s="39" t="s">
        <v>93</v>
      </c>
      <c r="Q51" s="39">
        <v>1</v>
      </c>
    </row>
    <row r="52" spans="1:17" x14ac:dyDescent="0.3">
      <c r="A52" t="s">
        <v>193</v>
      </c>
      <c r="B52" s="39" t="s">
        <v>194</v>
      </c>
      <c r="C52" t="s">
        <v>195</v>
      </c>
      <c r="D52" s="39" t="s">
        <v>206</v>
      </c>
      <c r="E52" t="s">
        <v>207</v>
      </c>
      <c r="F52" t="s">
        <v>87</v>
      </c>
      <c r="G52" t="s">
        <v>88</v>
      </c>
      <c r="H52" s="39">
        <v>2</v>
      </c>
      <c r="I52" s="39" t="s">
        <v>89</v>
      </c>
      <c r="J52" s="39" t="s">
        <v>90</v>
      </c>
      <c r="K52" s="39" t="s">
        <v>90</v>
      </c>
      <c r="L52" s="39" t="s">
        <v>90</v>
      </c>
      <c r="M52" s="39" t="s">
        <v>90</v>
      </c>
      <c r="N52" s="39" t="s">
        <v>90</v>
      </c>
      <c r="O52" s="39" t="s">
        <v>91</v>
      </c>
      <c r="P52" s="39" t="s">
        <v>93</v>
      </c>
      <c r="Q52" s="39">
        <v>0</v>
      </c>
    </row>
    <row r="53" spans="1:17" x14ac:dyDescent="0.3">
      <c r="A53" t="s">
        <v>193</v>
      </c>
      <c r="B53" s="39" t="s">
        <v>194</v>
      </c>
      <c r="C53" t="s">
        <v>195</v>
      </c>
      <c r="D53" s="39" t="s">
        <v>208</v>
      </c>
      <c r="E53" t="s">
        <v>209</v>
      </c>
      <c r="F53" t="s">
        <v>87</v>
      </c>
      <c r="G53" t="s">
        <v>88</v>
      </c>
      <c r="H53" s="39">
        <v>2</v>
      </c>
      <c r="I53" s="39" t="s">
        <v>89</v>
      </c>
      <c r="J53" s="39" t="s">
        <v>90</v>
      </c>
      <c r="K53" s="39" t="s">
        <v>90</v>
      </c>
      <c r="L53" s="39" t="s">
        <v>90</v>
      </c>
      <c r="M53" s="39" t="s">
        <v>90</v>
      </c>
      <c r="N53" s="39" t="s">
        <v>90</v>
      </c>
      <c r="O53" s="39" t="s">
        <v>91</v>
      </c>
      <c r="P53" s="39" t="s">
        <v>93</v>
      </c>
      <c r="Q53" s="39">
        <v>0</v>
      </c>
    </row>
    <row r="54" spans="1:17" x14ac:dyDescent="0.3">
      <c r="A54" t="s">
        <v>193</v>
      </c>
      <c r="B54" s="39" t="s">
        <v>194</v>
      </c>
      <c r="C54" t="s">
        <v>195</v>
      </c>
      <c r="D54" s="39" t="s">
        <v>210</v>
      </c>
      <c r="E54" t="s">
        <v>211</v>
      </c>
      <c r="F54" t="s">
        <v>87</v>
      </c>
      <c r="G54" t="s">
        <v>88</v>
      </c>
      <c r="H54" s="39">
        <v>4</v>
      </c>
      <c r="I54" s="39" t="s">
        <v>89</v>
      </c>
      <c r="J54" s="39" t="s">
        <v>90</v>
      </c>
      <c r="K54" s="39" t="s">
        <v>90</v>
      </c>
      <c r="L54" s="39" t="s">
        <v>90</v>
      </c>
      <c r="M54" s="39" t="s">
        <v>91</v>
      </c>
      <c r="N54" s="39" t="s">
        <v>93</v>
      </c>
      <c r="O54" s="39" t="s">
        <v>91</v>
      </c>
      <c r="P54" s="39" t="s">
        <v>93</v>
      </c>
      <c r="Q54" s="39">
        <v>1</v>
      </c>
    </row>
    <row r="55" spans="1:17" x14ac:dyDescent="0.3">
      <c r="A55" t="s">
        <v>193</v>
      </c>
      <c r="B55" s="39" t="s">
        <v>194</v>
      </c>
      <c r="C55" t="s">
        <v>195</v>
      </c>
      <c r="D55" s="39" t="s">
        <v>212</v>
      </c>
      <c r="E55" t="s">
        <v>213</v>
      </c>
      <c r="F55" t="s">
        <v>87</v>
      </c>
      <c r="G55" t="s">
        <v>88</v>
      </c>
      <c r="H55" s="39">
        <v>2</v>
      </c>
      <c r="I55" s="39" t="s">
        <v>89</v>
      </c>
      <c r="J55" s="39" t="s">
        <v>90</v>
      </c>
      <c r="K55" s="39" t="s">
        <v>90</v>
      </c>
      <c r="L55" s="39" t="s">
        <v>90</v>
      </c>
      <c r="M55" s="39" t="s">
        <v>90</v>
      </c>
      <c r="N55" s="39" t="s">
        <v>90</v>
      </c>
      <c r="O55" s="39" t="s">
        <v>91</v>
      </c>
      <c r="P55" s="39" t="s">
        <v>93</v>
      </c>
      <c r="Q55" s="39">
        <v>0</v>
      </c>
    </row>
    <row r="56" spans="1:17" x14ac:dyDescent="0.3">
      <c r="A56" t="s">
        <v>193</v>
      </c>
      <c r="B56" s="39" t="s">
        <v>194</v>
      </c>
      <c r="C56" t="s">
        <v>195</v>
      </c>
      <c r="D56" s="39" t="s">
        <v>214</v>
      </c>
      <c r="E56" t="s">
        <v>215</v>
      </c>
      <c r="F56" t="s">
        <v>87</v>
      </c>
      <c r="G56" t="s">
        <v>88</v>
      </c>
      <c r="H56" s="39">
        <v>2</v>
      </c>
      <c r="I56" s="39" t="s">
        <v>89</v>
      </c>
      <c r="J56" s="39" t="s">
        <v>90</v>
      </c>
      <c r="K56" s="39" t="s">
        <v>90</v>
      </c>
      <c r="L56" s="39" t="s">
        <v>90</v>
      </c>
      <c r="M56" s="39" t="s">
        <v>90</v>
      </c>
      <c r="N56" s="39" t="s">
        <v>90</v>
      </c>
      <c r="O56" s="39" t="s">
        <v>91</v>
      </c>
      <c r="P56" s="39" t="s">
        <v>93</v>
      </c>
      <c r="Q56" s="39">
        <v>0</v>
      </c>
    </row>
    <row r="57" spans="1:17" x14ac:dyDescent="0.3">
      <c r="A57" t="s">
        <v>193</v>
      </c>
      <c r="B57" s="39" t="s">
        <v>194</v>
      </c>
      <c r="C57" t="s">
        <v>195</v>
      </c>
      <c r="D57" s="39" t="s">
        <v>216</v>
      </c>
      <c r="E57" t="s">
        <v>217</v>
      </c>
      <c r="F57" t="s">
        <v>87</v>
      </c>
      <c r="G57" t="s">
        <v>88</v>
      </c>
      <c r="H57" s="39">
        <v>2</v>
      </c>
      <c r="I57" s="39" t="s">
        <v>89</v>
      </c>
      <c r="J57" s="39" t="s">
        <v>90</v>
      </c>
      <c r="K57" s="39" t="s">
        <v>90</v>
      </c>
      <c r="L57" s="39" t="s">
        <v>90</v>
      </c>
      <c r="M57" s="39" t="s">
        <v>90</v>
      </c>
      <c r="N57" s="39" t="s">
        <v>90</v>
      </c>
      <c r="O57" s="39" t="s">
        <v>91</v>
      </c>
      <c r="P57" s="39" t="s">
        <v>93</v>
      </c>
      <c r="Q57" s="39">
        <v>0</v>
      </c>
    </row>
    <row r="58" spans="1:17" x14ac:dyDescent="0.3">
      <c r="A58" t="s">
        <v>193</v>
      </c>
      <c r="B58" s="39" t="s">
        <v>194</v>
      </c>
      <c r="C58" t="s">
        <v>195</v>
      </c>
      <c r="D58" s="39" t="s">
        <v>218</v>
      </c>
      <c r="E58" t="s">
        <v>219</v>
      </c>
      <c r="F58" t="s">
        <v>110</v>
      </c>
      <c r="G58" t="s">
        <v>88</v>
      </c>
      <c r="H58" s="39">
        <v>1</v>
      </c>
      <c r="I58" s="39" t="s">
        <v>89</v>
      </c>
      <c r="J58" s="39" t="s">
        <v>90</v>
      </c>
      <c r="K58" s="39" t="s">
        <v>90</v>
      </c>
      <c r="L58" s="39" t="s">
        <v>90</v>
      </c>
      <c r="M58" s="39" t="s">
        <v>90</v>
      </c>
      <c r="N58" s="39" t="s">
        <v>90</v>
      </c>
      <c r="O58" s="39" t="s">
        <v>90</v>
      </c>
      <c r="P58" s="39" t="s">
        <v>91</v>
      </c>
      <c r="Q58" s="39">
        <v>0</v>
      </c>
    </row>
    <row r="59" spans="1:17" x14ac:dyDescent="0.3">
      <c r="A59" t="s">
        <v>193</v>
      </c>
      <c r="B59" s="39" t="s">
        <v>194</v>
      </c>
      <c r="C59" t="s">
        <v>195</v>
      </c>
      <c r="D59" s="39" t="s">
        <v>220</v>
      </c>
      <c r="E59" t="s">
        <v>221</v>
      </c>
      <c r="F59" t="s">
        <v>87</v>
      </c>
      <c r="G59" t="s">
        <v>88</v>
      </c>
      <c r="H59" s="39">
        <v>2</v>
      </c>
      <c r="I59" s="39" t="s">
        <v>89</v>
      </c>
      <c r="J59" s="39" t="s">
        <v>90</v>
      </c>
      <c r="K59" s="39" t="s">
        <v>90</v>
      </c>
      <c r="L59" s="39" t="s">
        <v>90</v>
      </c>
      <c r="M59" s="39" t="s">
        <v>90</v>
      </c>
      <c r="N59" s="39" t="s">
        <v>90</v>
      </c>
      <c r="O59" s="39" t="s">
        <v>91</v>
      </c>
      <c r="P59" s="39" t="s">
        <v>93</v>
      </c>
      <c r="Q59" s="39">
        <v>0</v>
      </c>
    </row>
    <row r="60" spans="1:17" x14ac:dyDescent="0.3">
      <c r="A60" t="s">
        <v>193</v>
      </c>
      <c r="B60" s="39" t="s">
        <v>194</v>
      </c>
      <c r="C60" t="s">
        <v>195</v>
      </c>
      <c r="D60" s="39" t="s">
        <v>222</v>
      </c>
      <c r="E60" t="s">
        <v>223</v>
      </c>
      <c r="F60" t="s">
        <v>87</v>
      </c>
      <c r="G60" t="s">
        <v>88</v>
      </c>
      <c r="H60" s="39">
        <v>2</v>
      </c>
      <c r="I60" s="39" t="s">
        <v>89</v>
      </c>
      <c r="J60" s="39" t="s">
        <v>90</v>
      </c>
      <c r="K60" s="39" t="s">
        <v>90</v>
      </c>
      <c r="L60" s="39" t="s">
        <v>90</v>
      </c>
      <c r="M60" s="39" t="s">
        <v>90</v>
      </c>
      <c r="N60" s="39" t="s">
        <v>90</v>
      </c>
      <c r="O60" s="39" t="s">
        <v>91</v>
      </c>
      <c r="P60" s="39" t="s">
        <v>93</v>
      </c>
      <c r="Q60" s="39">
        <v>0</v>
      </c>
    </row>
    <row r="61" spans="1:17" x14ac:dyDescent="0.3">
      <c r="A61" t="s">
        <v>193</v>
      </c>
      <c r="B61" s="39" t="s">
        <v>194</v>
      </c>
      <c r="C61" t="s">
        <v>195</v>
      </c>
      <c r="D61" s="39" t="s">
        <v>224</v>
      </c>
      <c r="E61" t="s">
        <v>225</v>
      </c>
      <c r="F61" t="s">
        <v>110</v>
      </c>
      <c r="G61" t="s">
        <v>88</v>
      </c>
      <c r="H61" s="39">
        <v>1</v>
      </c>
      <c r="I61" s="39" t="s">
        <v>89</v>
      </c>
      <c r="J61" s="39" t="s">
        <v>90</v>
      </c>
      <c r="K61" s="39" t="s">
        <v>90</v>
      </c>
      <c r="L61" s="39" t="s">
        <v>90</v>
      </c>
      <c r="M61" s="39" t="s">
        <v>90</v>
      </c>
      <c r="N61" s="39" t="s">
        <v>90</v>
      </c>
      <c r="O61" s="39" t="s">
        <v>90</v>
      </c>
      <c r="P61" s="39" t="s">
        <v>91</v>
      </c>
      <c r="Q61" s="39">
        <v>0</v>
      </c>
    </row>
    <row r="62" spans="1:17" x14ac:dyDescent="0.3">
      <c r="A62" t="s">
        <v>193</v>
      </c>
      <c r="B62" s="39" t="s">
        <v>194</v>
      </c>
      <c r="C62" t="s">
        <v>195</v>
      </c>
      <c r="D62" s="39" t="s">
        <v>226</v>
      </c>
      <c r="E62" t="s">
        <v>227</v>
      </c>
      <c r="F62" t="s">
        <v>87</v>
      </c>
      <c r="G62" t="s">
        <v>88</v>
      </c>
      <c r="H62" s="39">
        <v>4</v>
      </c>
      <c r="I62" s="39" t="s">
        <v>89</v>
      </c>
      <c r="J62" s="39" t="s">
        <v>90</v>
      </c>
      <c r="K62" s="39" t="s">
        <v>90</v>
      </c>
      <c r="L62" s="39" t="s">
        <v>90</v>
      </c>
      <c r="M62" s="39" t="s">
        <v>91</v>
      </c>
      <c r="N62" s="39" t="s">
        <v>93</v>
      </c>
      <c r="O62" s="39" t="s">
        <v>91</v>
      </c>
      <c r="P62" s="39" t="s">
        <v>93</v>
      </c>
      <c r="Q62" s="39">
        <v>1</v>
      </c>
    </row>
    <row r="63" spans="1:17" x14ac:dyDescent="0.3">
      <c r="A63" t="s">
        <v>193</v>
      </c>
      <c r="B63" s="39" t="s">
        <v>194</v>
      </c>
      <c r="C63" t="s">
        <v>195</v>
      </c>
      <c r="D63" s="39" t="s">
        <v>228</v>
      </c>
      <c r="E63" t="s">
        <v>229</v>
      </c>
      <c r="F63" t="s">
        <v>87</v>
      </c>
      <c r="G63" t="s">
        <v>88</v>
      </c>
      <c r="H63" s="39">
        <v>2</v>
      </c>
      <c r="I63" s="39" t="s">
        <v>89</v>
      </c>
      <c r="J63" s="39" t="s">
        <v>90</v>
      </c>
      <c r="K63" s="39" t="s">
        <v>90</v>
      </c>
      <c r="L63" s="39" t="s">
        <v>90</v>
      </c>
      <c r="M63" s="39" t="s">
        <v>90</v>
      </c>
      <c r="N63" s="39" t="s">
        <v>90</v>
      </c>
      <c r="O63" s="39" t="s">
        <v>91</v>
      </c>
      <c r="P63" s="39" t="s">
        <v>93</v>
      </c>
      <c r="Q63" s="39">
        <v>0</v>
      </c>
    </row>
    <row r="64" spans="1:17" x14ac:dyDescent="0.3">
      <c r="A64" t="s">
        <v>193</v>
      </c>
      <c r="B64" s="39" t="s">
        <v>194</v>
      </c>
      <c r="C64" t="s">
        <v>195</v>
      </c>
      <c r="D64" s="39" t="s">
        <v>230</v>
      </c>
      <c r="E64" t="s">
        <v>231</v>
      </c>
      <c r="F64" t="s">
        <v>87</v>
      </c>
      <c r="G64" t="s">
        <v>88</v>
      </c>
      <c r="H64" s="39">
        <v>2</v>
      </c>
      <c r="I64" s="39" t="s">
        <v>89</v>
      </c>
      <c r="J64" s="39" t="s">
        <v>90</v>
      </c>
      <c r="K64" s="39" t="s">
        <v>90</v>
      </c>
      <c r="L64" s="39" t="s">
        <v>90</v>
      </c>
      <c r="M64" s="39" t="s">
        <v>90</v>
      </c>
      <c r="N64" s="39" t="s">
        <v>90</v>
      </c>
      <c r="O64" s="39" t="s">
        <v>91</v>
      </c>
      <c r="P64" s="39" t="s">
        <v>93</v>
      </c>
      <c r="Q64" s="39">
        <v>0</v>
      </c>
    </row>
    <row r="65" spans="1:17" x14ac:dyDescent="0.3">
      <c r="A65" t="s">
        <v>193</v>
      </c>
      <c r="B65" s="39" t="s">
        <v>194</v>
      </c>
      <c r="C65" t="s">
        <v>195</v>
      </c>
      <c r="D65" s="39" t="s">
        <v>232</v>
      </c>
      <c r="E65" t="s">
        <v>233</v>
      </c>
      <c r="F65" t="s">
        <v>87</v>
      </c>
      <c r="G65" t="s">
        <v>88</v>
      </c>
      <c r="H65" s="39">
        <v>2</v>
      </c>
      <c r="I65" s="39" t="s">
        <v>89</v>
      </c>
      <c r="J65" s="39" t="s">
        <v>90</v>
      </c>
      <c r="K65" s="39" t="s">
        <v>90</v>
      </c>
      <c r="L65" s="39" t="s">
        <v>90</v>
      </c>
      <c r="M65" s="39" t="s">
        <v>90</v>
      </c>
      <c r="N65" s="39" t="s">
        <v>90</v>
      </c>
      <c r="O65" s="39" t="s">
        <v>91</v>
      </c>
      <c r="P65" s="39" t="s">
        <v>93</v>
      </c>
      <c r="Q65" s="39">
        <v>0</v>
      </c>
    </row>
    <row r="66" spans="1:17" x14ac:dyDescent="0.3">
      <c r="A66" t="s">
        <v>115</v>
      </c>
      <c r="B66" s="39" t="s">
        <v>234</v>
      </c>
      <c r="C66" t="s">
        <v>235</v>
      </c>
      <c r="D66" s="39" t="s">
        <v>236</v>
      </c>
      <c r="E66" t="s">
        <v>237</v>
      </c>
      <c r="F66" t="s">
        <v>87</v>
      </c>
      <c r="G66" t="s">
        <v>88</v>
      </c>
      <c r="H66" s="39">
        <v>2</v>
      </c>
      <c r="I66" s="39" t="s">
        <v>89</v>
      </c>
      <c r="J66" s="39" t="s">
        <v>90</v>
      </c>
      <c r="K66" s="39" t="s">
        <v>90</v>
      </c>
      <c r="L66" s="39" t="s">
        <v>90</v>
      </c>
      <c r="M66" s="39" t="s">
        <v>90</v>
      </c>
      <c r="N66" s="39" t="s">
        <v>90</v>
      </c>
      <c r="O66" s="39" t="s">
        <v>91</v>
      </c>
      <c r="P66" s="39" t="s">
        <v>93</v>
      </c>
      <c r="Q66" s="39">
        <v>0</v>
      </c>
    </row>
    <row r="67" spans="1:17" x14ac:dyDescent="0.3">
      <c r="A67" t="s">
        <v>238</v>
      </c>
      <c r="B67" s="39" t="s">
        <v>239</v>
      </c>
      <c r="C67" t="s">
        <v>240</v>
      </c>
      <c r="D67" s="39" t="s">
        <v>241</v>
      </c>
      <c r="E67" t="s">
        <v>242</v>
      </c>
      <c r="F67" t="s">
        <v>87</v>
      </c>
      <c r="G67" t="s">
        <v>97</v>
      </c>
      <c r="H67" s="39">
        <v>6</v>
      </c>
      <c r="I67" s="39" t="s">
        <v>89</v>
      </c>
      <c r="J67" s="39" t="s">
        <v>91</v>
      </c>
      <c r="K67" s="39" t="s">
        <v>92</v>
      </c>
      <c r="L67" s="39" t="s">
        <v>91</v>
      </c>
      <c r="M67" s="39" t="s">
        <v>92</v>
      </c>
      <c r="N67" s="39" t="s">
        <v>92</v>
      </c>
      <c r="O67" s="39" t="s">
        <v>92</v>
      </c>
      <c r="P67" s="39" t="s">
        <v>93</v>
      </c>
      <c r="Q67" s="39">
        <v>4</v>
      </c>
    </row>
    <row r="68" spans="1:17" x14ac:dyDescent="0.3">
      <c r="A68" t="s">
        <v>238</v>
      </c>
      <c r="B68" s="39" t="s">
        <v>239</v>
      </c>
      <c r="C68" t="s">
        <v>240</v>
      </c>
      <c r="D68" s="39" t="s">
        <v>243</v>
      </c>
      <c r="E68" t="s">
        <v>244</v>
      </c>
      <c r="F68" t="s">
        <v>87</v>
      </c>
      <c r="G68" t="s">
        <v>88</v>
      </c>
      <c r="H68" s="39">
        <v>2</v>
      </c>
      <c r="I68" s="39" t="s">
        <v>89</v>
      </c>
      <c r="J68" s="39" t="s">
        <v>90</v>
      </c>
      <c r="K68" s="39" t="s">
        <v>90</v>
      </c>
      <c r="L68" s="39" t="s">
        <v>90</v>
      </c>
      <c r="M68" s="39" t="s">
        <v>90</v>
      </c>
      <c r="N68" s="39" t="s">
        <v>90</v>
      </c>
      <c r="O68" s="39" t="s">
        <v>91</v>
      </c>
      <c r="P68" s="39" t="s">
        <v>93</v>
      </c>
      <c r="Q68" s="39">
        <v>0</v>
      </c>
    </row>
    <row r="69" spans="1:17" x14ac:dyDescent="0.3">
      <c r="A69" t="s">
        <v>238</v>
      </c>
      <c r="B69" s="39" t="s">
        <v>239</v>
      </c>
      <c r="C69" t="s">
        <v>240</v>
      </c>
      <c r="D69" s="39" t="s">
        <v>245</v>
      </c>
      <c r="E69" t="s">
        <v>246</v>
      </c>
      <c r="F69" t="s">
        <v>87</v>
      </c>
      <c r="G69" t="s">
        <v>88</v>
      </c>
      <c r="H69" s="39">
        <v>3</v>
      </c>
      <c r="I69" s="39" t="s">
        <v>89</v>
      </c>
      <c r="J69" s="39" t="s">
        <v>90</v>
      </c>
      <c r="K69" s="39" t="s">
        <v>90</v>
      </c>
      <c r="L69" s="39" t="s">
        <v>90</v>
      </c>
      <c r="M69" s="39" t="s">
        <v>90</v>
      </c>
      <c r="N69" s="39" t="s">
        <v>91</v>
      </c>
      <c r="O69" s="39" t="s">
        <v>92</v>
      </c>
      <c r="P69" s="39" t="s">
        <v>93</v>
      </c>
      <c r="Q69" s="39">
        <v>1</v>
      </c>
    </row>
    <row r="70" spans="1:17" x14ac:dyDescent="0.3">
      <c r="A70" t="s">
        <v>238</v>
      </c>
      <c r="B70" s="39" t="s">
        <v>239</v>
      </c>
      <c r="C70" t="s">
        <v>240</v>
      </c>
      <c r="D70" s="39" t="s">
        <v>247</v>
      </c>
      <c r="E70" t="s">
        <v>248</v>
      </c>
      <c r="F70" t="s">
        <v>87</v>
      </c>
      <c r="G70" t="s">
        <v>88</v>
      </c>
      <c r="H70" s="39">
        <v>2</v>
      </c>
      <c r="I70" s="39" t="s">
        <v>89</v>
      </c>
      <c r="J70" s="39" t="s">
        <v>90</v>
      </c>
      <c r="K70" s="39" t="s">
        <v>90</v>
      </c>
      <c r="L70" s="39" t="s">
        <v>90</v>
      </c>
      <c r="M70" s="39" t="s">
        <v>90</v>
      </c>
      <c r="N70" s="39" t="s">
        <v>90</v>
      </c>
      <c r="O70" s="39" t="s">
        <v>91</v>
      </c>
      <c r="P70" s="39" t="s">
        <v>93</v>
      </c>
      <c r="Q70" s="39">
        <v>0</v>
      </c>
    </row>
    <row r="71" spans="1:17" x14ac:dyDescent="0.3">
      <c r="A71" t="s">
        <v>238</v>
      </c>
      <c r="B71" s="39" t="s">
        <v>239</v>
      </c>
      <c r="C71" t="s">
        <v>240</v>
      </c>
      <c r="D71" s="39" t="s">
        <v>249</v>
      </c>
      <c r="E71" t="s">
        <v>175</v>
      </c>
      <c r="F71" t="s">
        <v>87</v>
      </c>
      <c r="G71" t="s">
        <v>88</v>
      </c>
      <c r="H71" s="39">
        <v>2</v>
      </c>
      <c r="I71" s="39" t="s">
        <v>89</v>
      </c>
      <c r="J71" s="39" t="s">
        <v>90</v>
      </c>
      <c r="K71" s="39" t="s">
        <v>90</v>
      </c>
      <c r="L71" s="39" t="s">
        <v>90</v>
      </c>
      <c r="M71" s="39" t="s">
        <v>90</v>
      </c>
      <c r="N71" s="39" t="s">
        <v>90</v>
      </c>
      <c r="O71" s="39" t="s">
        <v>91</v>
      </c>
      <c r="P71" s="39" t="s">
        <v>93</v>
      </c>
      <c r="Q71" s="39">
        <v>0</v>
      </c>
    </row>
    <row r="72" spans="1:17" x14ac:dyDescent="0.3">
      <c r="A72" t="s">
        <v>238</v>
      </c>
      <c r="B72" s="39" t="s">
        <v>239</v>
      </c>
      <c r="C72" t="s">
        <v>240</v>
      </c>
      <c r="D72" s="39" t="s">
        <v>250</v>
      </c>
      <c r="E72" t="s">
        <v>251</v>
      </c>
      <c r="F72" t="s">
        <v>87</v>
      </c>
      <c r="G72" t="s">
        <v>88</v>
      </c>
      <c r="H72" s="39">
        <v>2</v>
      </c>
      <c r="I72" s="39" t="s">
        <v>89</v>
      </c>
      <c r="J72" s="39" t="s">
        <v>90</v>
      </c>
      <c r="K72" s="39" t="s">
        <v>90</v>
      </c>
      <c r="L72" s="39" t="s">
        <v>90</v>
      </c>
      <c r="M72" s="39" t="s">
        <v>90</v>
      </c>
      <c r="N72" s="39" t="s">
        <v>90</v>
      </c>
      <c r="O72" s="39" t="s">
        <v>91</v>
      </c>
      <c r="P72" s="39" t="s">
        <v>93</v>
      </c>
      <c r="Q72" s="39">
        <v>0</v>
      </c>
    </row>
    <row r="73" spans="1:17" x14ac:dyDescent="0.3">
      <c r="A73" t="s">
        <v>238</v>
      </c>
      <c r="B73" s="39" t="s">
        <v>239</v>
      </c>
      <c r="C73" t="s">
        <v>240</v>
      </c>
      <c r="D73" s="39" t="s">
        <v>252</v>
      </c>
      <c r="E73" t="s">
        <v>253</v>
      </c>
      <c r="F73" t="s">
        <v>87</v>
      </c>
      <c r="G73" t="s">
        <v>88</v>
      </c>
      <c r="H73" s="39">
        <v>3</v>
      </c>
      <c r="I73" s="39" t="s">
        <v>89</v>
      </c>
      <c r="J73" s="39" t="s">
        <v>90</v>
      </c>
      <c r="K73" s="39" t="s">
        <v>90</v>
      </c>
      <c r="L73" s="39" t="s">
        <v>90</v>
      </c>
      <c r="M73" s="39" t="s">
        <v>90</v>
      </c>
      <c r="N73" s="39" t="s">
        <v>91</v>
      </c>
      <c r="O73" s="39" t="s">
        <v>92</v>
      </c>
      <c r="P73" s="39" t="s">
        <v>93</v>
      </c>
      <c r="Q73" s="39">
        <v>1</v>
      </c>
    </row>
    <row r="74" spans="1:17" x14ac:dyDescent="0.3">
      <c r="A74" t="s">
        <v>238</v>
      </c>
      <c r="B74" s="39" t="s">
        <v>239</v>
      </c>
      <c r="C74" t="s">
        <v>240</v>
      </c>
      <c r="D74" s="39" t="s">
        <v>254</v>
      </c>
      <c r="E74" t="s">
        <v>255</v>
      </c>
      <c r="F74" t="s">
        <v>110</v>
      </c>
      <c r="G74" t="s">
        <v>88</v>
      </c>
      <c r="H74" s="39">
        <v>1</v>
      </c>
      <c r="I74" s="39" t="s">
        <v>89</v>
      </c>
      <c r="J74" s="39" t="s">
        <v>90</v>
      </c>
      <c r="K74" s="39" t="s">
        <v>90</v>
      </c>
      <c r="L74" s="39" t="s">
        <v>90</v>
      </c>
      <c r="M74" s="39" t="s">
        <v>90</v>
      </c>
      <c r="N74" s="39" t="s">
        <v>90</v>
      </c>
      <c r="O74" s="39" t="s">
        <v>90</v>
      </c>
      <c r="P74" s="39" t="s">
        <v>91</v>
      </c>
      <c r="Q74" s="39">
        <v>0</v>
      </c>
    </row>
    <row r="75" spans="1:17" x14ac:dyDescent="0.3">
      <c r="A75" t="s">
        <v>82</v>
      </c>
      <c r="B75" s="39" t="s">
        <v>256</v>
      </c>
      <c r="C75" t="s">
        <v>257</v>
      </c>
      <c r="D75" s="39" t="s">
        <v>258</v>
      </c>
      <c r="E75" t="s">
        <v>259</v>
      </c>
      <c r="F75" t="s">
        <v>110</v>
      </c>
      <c r="G75" t="s">
        <v>88</v>
      </c>
      <c r="H75" s="39">
        <v>1</v>
      </c>
      <c r="I75" s="39" t="s">
        <v>89</v>
      </c>
      <c r="J75" s="39" t="s">
        <v>90</v>
      </c>
      <c r="K75" s="39" t="s">
        <v>90</v>
      </c>
      <c r="L75" s="39" t="s">
        <v>90</v>
      </c>
      <c r="M75" s="39" t="s">
        <v>91</v>
      </c>
      <c r="N75" s="39" t="s">
        <v>93</v>
      </c>
      <c r="O75" s="39" t="s">
        <v>90</v>
      </c>
      <c r="P75" s="39" t="s">
        <v>91</v>
      </c>
      <c r="Q75" s="39">
        <v>0</v>
      </c>
    </row>
    <row r="76" spans="1:17" x14ac:dyDescent="0.3">
      <c r="A76" t="s">
        <v>82</v>
      </c>
      <c r="B76" s="39" t="s">
        <v>256</v>
      </c>
      <c r="C76" t="s">
        <v>257</v>
      </c>
      <c r="D76" s="39" t="s">
        <v>260</v>
      </c>
      <c r="E76" t="s">
        <v>261</v>
      </c>
      <c r="F76" t="s">
        <v>87</v>
      </c>
      <c r="G76" t="s">
        <v>88</v>
      </c>
      <c r="H76" s="39">
        <v>2</v>
      </c>
      <c r="I76" s="39" t="s">
        <v>89</v>
      </c>
      <c r="J76" s="39" t="s">
        <v>90</v>
      </c>
      <c r="K76" s="39" t="s">
        <v>90</v>
      </c>
      <c r="L76" s="39" t="s">
        <v>90</v>
      </c>
      <c r="M76" s="39" t="s">
        <v>90</v>
      </c>
      <c r="N76" s="39" t="s">
        <v>90</v>
      </c>
      <c r="O76" s="39" t="s">
        <v>91</v>
      </c>
      <c r="P76" s="39" t="s">
        <v>93</v>
      </c>
      <c r="Q76" s="39">
        <v>0</v>
      </c>
    </row>
    <row r="77" spans="1:17" x14ac:dyDescent="0.3">
      <c r="A77" t="s">
        <v>115</v>
      </c>
      <c r="B77" s="39" t="s">
        <v>262</v>
      </c>
      <c r="C77" t="s">
        <v>263</v>
      </c>
      <c r="D77" s="39" t="s">
        <v>264</v>
      </c>
      <c r="E77" t="s">
        <v>265</v>
      </c>
      <c r="F77" t="s">
        <v>110</v>
      </c>
      <c r="G77" t="s">
        <v>88</v>
      </c>
      <c r="H77" s="39">
        <v>1</v>
      </c>
      <c r="I77" s="39" t="s">
        <v>89</v>
      </c>
      <c r="J77" s="39" t="s">
        <v>90</v>
      </c>
      <c r="K77" s="39" t="s">
        <v>90</v>
      </c>
      <c r="L77" s="39" t="s">
        <v>90</v>
      </c>
      <c r="M77" s="39" t="s">
        <v>90</v>
      </c>
      <c r="N77" s="39" t="s">
        <v>90</v>
      </c>
      <c r="O77" s="39" t="s">
        <v>90</v>
      </c>
      <c r="P77" s="39" t="s">
        <v>91</v>
      </c>
      <c r="Q77" s="39">
        <v>0</v>
      </c>
    </row>
    <row r="78" spans="1:17" x14ac:dyDescent="0.3">
      <c r="A78" t="s">
        <v>115</v>
      </c>
      <c r="B78" s="39" t="s">
        <v>262</v>
      </c>
      <c r="C78" t="s">
        <v>263</v>
      </c>
      <c r="D78" s="39" t="s">
        <v>266</v>
      </c>
      <c r="E78" t="s">
        <v>267</v>
      </c>
      <c r="F78" t="s">
        <v>110</v>
      </c>
      <c r="G78" t="s">
        <v>88</v>
      </c>
      <c r="H78" s="39">
        <v>3</v>
      </c>
      <c r="I78" s="39" t="s">
        <v>89</v>
      </c>
      <c r="J78" s="39" t="s">
        <v>91</v>
      </c>
      <c r="K78" s="39" t="s">
        <v>93</v>
      </c>
      <c r="L78" s="39" t="s">
        <v>93</v>
      </c>
      <c r="M78" s="39" t="s">
        <v>90</v>
      </c>
      <c r="N78" s="39" t="s">
        <v>91</v>
      </c>
      <c r="O78" s="39" t="s">
        <v>93</v>
      </c>
      <c r="P78" s="39" t="s">
        <v>91</v>
      </c>
      <c r="Q78" s="39">
        <v>1</v>
      </c>
    </row>
    <row r="79" spans="1:17" x14ac:dyDescent="0.3">
      <c r="A79" t="s">
        <v>115</v>
      </c>
      <c r="B79" s="39" t="s">
        <v>262</v>
      </c>
      <c r="C79" t="s">
        <v>263</v>
      </c>
      <c r="D79" s="39" t="s">
        <v>268</v>
      </c>
      <c r="E79" t="s">
        <v>269</v>
      </c>
      <c r="F79" t="s">
        <v>96</v>
      </c>
      <c r="G79" t="s">
        <v>97</v>
      </c>
      <c r="H79" s="39">
        <v>6</v>
      </c>
      <c r="I79" s="39" t="s">
        <v>89</v>
      </c>
      <c r="J79" s="39" t="s">
        <v>91</v>
      </c>
      <c r="K79" s="39" t="s">
        <v>92</v>
      </c>
      <c r="L79" s="39" t="s">
        <v>91</v>
      </c>
      <c r="M79" s="39" t="s">
        <v>92</v>
      </c>
      <c r="N79" s="39" t="s">
        <v>92</v>
      </c>
      <c r="O79" s="39" t="s">
        <v>92</v>
      </c>
      <c r="P79" s="39" t="s">
        <v>92</v>
      </c>
      <c r="Q79" s="39">
        <v>5</v>
      </c>
    </row>
    <row r="80" spans="1:17" x14ac:dyDescent="0.3">
      <c r="A80" t="s">
        <v>115</v>
      </c>
      <c r="B80" s="39" t="s">
        <v>262</v>
      </c>
      <c r="C80" t="s">
        <v>263</v>
      </c>
      <c r="D80" s="39" t="s">
        <v>270</v>
      </c>
      <c r="E80" t="s">
        <v>271</v>
      </c>
      <c r="F80" t="s">
        <v>110</v>
      </c>
      <c r="G80" t="s">
        <v>88</v>
      </c>
      <c r="H80" s="39">
        <v>1</v>
      </c>
      <c r="I80" s="39" t="s">
        <v>89</v>
      </c>
      <c r="J80" s="39" t="s">
        <v>90</v>
      </c>
      <c r="K80" s="39" t="s">
        <v>91</v>
      </c>
      <c r="L80" s="39" t="s">
        <v>91</v>
      </c>
      <c r="M80" s="39" t="s">
        <v>93</v>
      </c>
      <c r="N80" s="39" t="s">
        <v>90</v>
      </c>
      <c r="O80" s="39" t="s">
        <v>90</v>
      </c>
      <c r="P80" s="39" t="s">
        <v>91</v>
      </c>
      <c r="Q80" s="39">
        <v>0</v>
      </c>
    </row>
    <row r="81" spans="1:17" x14ac:dyDescent="0.3">
      <c r="A81" t="s">
        <v>115</v>
      </c>
      <c r="B81" s="39" t="s">
        <v>262</v>
      </c>
      <c r="C81" t="s">
        <v>263</v>
      </c>
      <c r="D81" s="39" t="s">
        <v>272</v>
      </c>
      <c r="E81" t="s">
        <v>273</v>
      </c>
      <c r="F81" t="s">
        <v>87</v>
      </c>
      <c r="G81" t="s">
        <v>88</v>
      </c>
      <c r="H81" s="39">
        <v>5</v>
      </c>
      <c r="I81" s="39" t="s">
        <v>89</v>
      </c>
      <c r="J81" s="39" t="s">
        <v>90</v>
      </c>
      <c r="K81" s="39" t="s">
        <v>91</v>
      </c>
      <c r="L81" s="39" t="s">
        <v>91</v>
      </c>
      <c r="M81" s="39" t="s">
        <v>92</v>
      </c>
      <c r="N81" s="39" t="s">
        <v>93</v>
      </c>
      <c r="O81" s="39" t="s">
        <v>91</v>
      </c>
      <c r="P81" s="39" t="s">
        <v>93</v>
      </c>
      <c r="Q81" s="39">
        <v>2</v>
      </c>
    </row>
    <row r="82" spans="1:17" x14ac:dyDescent="0.3">
      <c r="A82" t="s">
        <v>115</v>
      </c>
      <c r="B82" s="39" t="s">
        <v>262</v>
      </c>
      <c r="C82" t="s">
        <v>263</v>
      </c>
      <c r="D82" s="39" t="s">
        <v>274</v>
      </c>
      <c r="E82" t="s">
        <v>275</v>
      </c>
      <c r="F82" t="s">
        <v>96</v>
      </c>
      <c r="G82" t="s">
        <v>97</v>
      </c>
      <c r="H82" s="39">
        <v>3</v>
      </c>
      <c r="I82" s="39" t="s">
        <v>90</v>
      </c>
      <c r="J82" s="39" t="s">
        <v>90</v>
      </c>
      <c r="K82" s="39" t="s">
        <v>90</v>
      </c>
      <c r="L82" s="39" t="s">
        <v>90</v>
      </c>
      <c r="M82" s="39" t="s">
        <v>90</v>
      </c>
      <c r="N82" s="39" t="s">
        <v>91</v>
      </c>
      <c r="O82" s="39" t="s">
        <v>92</v>
      </c>
      <c r="P82" s="39" t="s">
        <v>92</v>
      </c>
      <c r="Q82" s="39">
        <v>2</v>
      </c>
    </row>
    <row r="83" spans="1:17" x14ac:dyDescent="0.3">
      <c r="A83" t="s">
        <v>115</v>
      </c>
      <c r="B83" s="39" t="s">
        <v>262</v>
      </c>
      <c r="C83" t="s">
        <v>263</v>
      </c>
      <c r="D83" s="39" t="s">
        <v>276</v>
      </c>
      <c r="E83" t="s">
        <v>277</v>
      </c>
      <c r="F83" t="s">
        <v>110</v>
      </c>
      <c r="G83" t="s">
        <v>88</v>
      </c>
      <c r="H83" s="39">
        <v>3</v>
      </c>
      <c r="I83" s="39" t="s">
        <v>89</v>
      </c>
      <c r="J83" s="39" t="s">
        <v>90</v>
      </c>
      <c r="K83" s="39" t="s">
        <v>90</v>
      </c>
      <c r="L83" s="39" t="s">
        <v>90</v>
      </c>
      <c r="M83" s="39" t="s">
        <v>90</v>
      </c>
      <c r="N83" s="39" t="s">
        <v>91</v>
      </c>
      <c r="O83" s="39" t="s">
        <v>93</v>
      </c>
      <c r="P83" s="39" t="s">
        <v>91</v>
      </c>
      <c r="Q83" s="39">
        <v>1</v>
      </c>
    </row>
    <row r="84" spans="1:17" x14ac:dyDescent="0.3">
      <c r="A84" t="s">
        <v>115</v>
      </c>
      <c r="B84" s="39" t="s">
        <v>262</v>
      </c>
      <c r="C84" t="s">
        <v>263</v>
      </c>
      <c r="D84" s="39" t="s">
        <v>278</v>
      </c>
      <c r="E84" t="s">
        <v>279</v>
      </c>
      <c r="F84" t="s">
        <v>110</v>
      </c>
      <c r="G84" t="s">
        <v>88</v>
      </c>
      <c r="H84" s="39">
        <v>1</v>
      </c>
      <c r="I84" s="39" t="s">
        <v>89</v>
      </c>
      <c r="J84" s="39" t="s">
        <v>90</v>
      </c>
      <c r="K84" s="39" t="s">
        <v>90</v>
      </c>
      <c r="L84" s="39" t="s">
        <v>90</v>
      </c>
      <c r="M84" s="39" t="s">
        <v>90</v>
      </c>
      <c r="N84" s="39" t="s">
        <v>90</v>
      </c>
      <c r="O84" s="39" t="s">
        <v>90</v>
      </c>
      <c r="P84" s="39" t="s">
        <v>91</v>
      </c>
      <c r="Q84" s="39">
        <v>0</v>
      </c>
    </row>
    <row r="85" spans="1:17" x14ac:dyDescent="0.3">
      <c r="A85" t="s">
        <v>115</v>
      </c>
      <c r="B85" s="39" t="s">
        <v>262</v>
      </c>
      <c r="C85" t="s">
        <v>263</v>
      </c>
      <c r="D85" s="39" t="s">
        <v>280</v>
      </c>
      <c r="E85" t="s">
        <v>281</v>
      </c>
      <c r="F85" t="s">
        <v>110</v>
      </c>
      <c r="G85" t="s">
        <v>88</v>
      </c>
      <c r="H85" s="39">
        <v>1</v>
      </c>
      <c r="I85" s="39" t="s">
        <v>89</v>
      </c>
      <c r="J85" s="39" t="s">
        <v>90</v>
      </c>
      <c r="K85" s="39" t="s">
        <v>90</v>
      </c>
      <c r="L85" s="39" t="s">
        <v>90</v>
      </c>
      <c r="M85" s="39" t="s">
        <v>90</v>
      </c>
      <c r="N85" s="39" t="s">
        <v>90</v>
      </c>
      <c r="O85" s="39" t="s">
        <v>90</v>
      </c>
      <c r="P85" s="39" t="s">
        <v>91</v>
      </c>
      <c r="Q85" s="39">
        <v>0</v>
      </c>
    </row>
    <row r="86" spans="1:17" x14ac:dyDescent="0.3">
      <c r="A86" t="s">
        <v>115</v>
      </c>
      <c r="B86" s="39" t="s">
        <v>262</v>
      </c>
      <c r="C86" t="s">
        <v>263</v>
      </c>
      <c r="D86" s="39" t="s">
        <v>282</v>
      </c>
      <c r="E86" t="s">
        <v>283</v>
      </c>
      <c r="F86" t="s">
        <v>87</v>
      </c>
      <c r="G86" t="s">
        <v>88</v>
      </c>
      <c r="H86" s="39">
        <v>2</v>
      </c>
      <c r="I86" s="39" t="s">
        <v>89</v>
      </c>
      <c r="J86" s="39" t="s">
        <v>90</v>
      </c>
      <c r="K86" s="39" t="s">
        <v>90</v>
      </c>
      <c r="L86" s="39" t="s">
        <v>90</v>
      </c>
      <c r="M86" s="39" t="s">
        <v>90</v>
      </c>
      <c r="N86" s="39" t="s">
        <v>90</v>
      </c>
      <c r="O86" s="39" t="s">
        <v>91</v>
      </c>
      <c r="P86" s="39" t="s">
        <v>93</v>
      </c>
      <c r="Q86" s="39">
        <v>0</v>
      </c>
    </row>
    <row r="87" spans="1:17" x14ac:dyDescent="0.3">
      <c r="A87" t="s">
        <v>115</v>
      </c>
      <c r="B87" s="39" t="s">
        <v>262</v>
      </c>
      <c r="C87" t="s">
        <v>263</v>
      </c>
      <c r="D87" s="39" t="s">
        <v>284</v>
      </c>
      <c r="E87" t="s">
        <v>285</v>
      </c>
      <c r="F87" t="s">
        <v>87</v>
      </c>
      <c r="G87" t="s">
        <v>88</v>
      </c>
      <c r="H87" s="39">
        <v>2</v>
      </c>
      <c r="I87" s="39" t="s">
        <v>89</v>
      </c>
      <c r="J87" s="39" t="s">
        <v>90</v>
      </c>
      <c r="K87" s="39" t="s">
        <v>90</v>
      </c>
      <c r="L87" s="39" t="s">
        <v>90</v>
      </c>
      <c r="M87" s="39" t="s">
        <v>90</v>
      </c>
      <c r="N87" s="39" t="s">
        <v>90</v>
      </c>
      <c r="O87" s="39" t="s">
        <v>91</v>
      </c>
      <c r="P87" s="39" t="s">
        <v>93</v>
      </c>
      <c r="Q87" s="39">
        <v>0</v>
      </c>
    </row>
    <row r="88" spans="1:17" x14ac:dyDescent="0.3">
      <c r="A88" t="s">
        <v>115</v>
      </c>
      <c r="B88" s="39" t="s">
        <v>262</v>
      </c>
      <c r="C88" t="s">
        <v>263</v>
      </c>
      <c r="D88" s="39" t="s">
        <v>286</v>
      </c>
      <c r="E88" t="s">
        <v>287</v>
      </c>
      <c r="F88" t="s">
        <v>87</v>
      </c>
      <c r="G88" t="s">
        <v>88</v>
      </c>
      <c r="H88" s="39">
        <v>2</v>
      </c>
      <c r="I88" s="39" t="s">
        <v>89</v>
      </c>
      <c r="J88" s="39" t="s">
        <v>90</v>
      </c>
      <c r="K88" s="39" t="s">
        <v>90</v>
      </c>
      <c r="L88" s="39" t="s">
        <v>90</v>
      </c>
      <c r="M88" s="39" t="s">
        <v>90</v>
      </c>
      <c r="N88" s="39" t="s">
        <v>90</v>
      </c>
      <c r="O88" s="39" t="s">
        <v>91</v>
      </c>
      <c r="P88" s="39" t="s">
        <v>93</v>
      </c>
      <c r="Q88" s="39">
        <v>0</v>
      </c>
    </row>
    <row r="89" spans="1:17" x14ac:dyDescent="0.3">
      <c r="A89" t="s">
        <v>115</v>
      </c>
      <c r="B89" s="39" t="s">
        <v>262</v>
      </c>
      <c r="C89" t="s">
        <v>263</v>
      </c>
      <c r="D89" s="39" t="s">
        <v>288</v>
      </c>
      <c r="E89" t="s">
        <v>289</v>
      </c>
      <c r="F89" t="s">
        <v>110</v>
      </c>
      <c r="G89" t="s">
        <v>88</v>
      </c>
      <c r="H89" s="39">
        <v>1</v>
      </c>
      <c r="I89" s="39" t="s">
        <v>89</v>
      </c>
      <c r="J89" s="39" t="s">
        <v>90</v>
      </c>
      <c r="K89" s="39" t="s">
        <v>90</v>
      </c>
      <c r="L89" s="39" t="s">
        <v>90</v>
      </c>
      <c r="M89" s="39" t="s">
        <v>90</v>
      </c>
      <c r="N89" s="39" t="s">
        <v>90</v>
      </c>
      <c r="O89" s="39" t="s">
        <v>90</v>
      </c>
      <c r="P89" s="39" t="s">
        <v>91</v>
      </c>
      <c r="Q89" s="39">
        <v>0</v>
      </c>
    </row>
    <row r="90" spans="1:17" x14ac:dyDescent="0.3">
      <c r="A90" t="s">
        <v>193</v>
      </c>
      <c r="B90" s="39" t="s">
        <v>290</v>
      </c>
      <c r="C90" t="s">
        <v>291</v>
      </c>
      <c r="D90" s="39" t="s">
        <v>292</v>
      </c>
      <c r="E90" t="s">
        <v>293</v>
      </c>
      <c r="F90" t="s">
        <v>87</v>
      </c>
      <c r="G90" t="s">
        <v>88</v>
      </c>
      <c r="H90" s="39">
        <v>2</v>
      </c>
      <c r="I90" s="39" t="s">
        <v>89</v>
      </c>
      <c r="J90" s="39" t="s">
        <v>90</v>
      </c>
      <c r="K90" s="39" t="s">
        <v>90</v>
      </c>
      <c r="L90" s="39" t="s">
        <v>90</v>
      </c>
      <c r="M90" s="39" t="s">
        <v>90</v>
      </c>
      <c r="N90" s="39" t="s">
        <v>90</v>
      </c>
      <c r="O90" s="39" t="s">
        <v>91</v>
      </c>
      <c r="P90" s="39" t="s">
        <v>93</v>
      </c>
      <c r="Q90" s="39">
        <v>0</v>
      </c>
    </row>
    <row r="91" spans="1:17" x14ac:dyDescent="0.3">
      <c r="A91" t="s">
        <v>82</v>
      </c>
      <c r="B91" s="39" t="s">
        <v>294</v>
      </c>
      <c r="C91" t="s">
        <v>295</v>
      </c>
      <c r="D91" s="39" t="s">
        <v>296</v>
      </c>
      <c r="E91" t="s">
        <v>297</v>
      </c>
      <c r="F91" t="s">
        <v>87</v>
      </c>
      <c r="G91" t="s">
        <v>88</v>
      </c>
      <c r="H91" s="39">
        <v>3</v>
      </c>
      <c r="I91" s="39" t="s">
        <v>89</v>
      </c>
      <c r="J91" s="39" t="s">
        <v>90</v>
      </c>
      <c r="K91" s="39" t="s">
        <v>90</v>
      </c>
      <c r="L91" s="39" t="s">
        <v>90</v>
      </c>
      <c r="M91" s="39" t="s">
        <v>90</v>
      </c>
      <c r="N91" s="39" t="s">
        <v>91</v>
      </c>
      <c r="O91" s="39" t="s">
        <v>92</v>
      </c>
      <c r="P91" s="39" t="s">
        <v>93</v>
      </c>
      <c r="Q91" s="39">
        <v>1</v>
      </c>
    </row>
    <row r="92" spans="1:17" x14ac:dyDescent="0.3">
      <c r="A92" t="s">
        <v>82</v>
      </c>
      <c r="B92" s="39" t="s">
        <v>294</v>
      </c>
      <c r="C92" t="s">
        <v>295</v>
      </c>
      <c r="D92" s="39" t="s">
        <v>298</v>
      </c>
      <c r="E92" t="s">
        <v>299</v>
      </c>
      <c r="F92" t="s">
        <v>110</v>
      </c>
      <c r="G92" t="s">
        <v>88</v>
      </c>
      <c r="H92" s="39">
        <v>1</v>
      </c>
      <c r="I92" s="39" t="s">
        <v>89</v>
      </c>
      <c r="J92" s="39" t="s">
        <v>91</v>
      </c>
      <c r="K92" s="39" t="s">
        <v>92</v>
      </c>
      <c r="L92" s="39" t="s">
        <v>91</v>
      </c>
      <c r="M92" s="39" t="s">
        <v>93</v>
      </c>
      <c r="N92" s="39" t="s">
        <v>90</v>
      </c>
      <c r="O92" s="39" t="s">
        <v>90</v>
      </c>
      <c r="P92" s="39" t="s">
        <v>91</v>
      </c>
      <c r="Q92" s="39">
        <v>0</v>
      </c>
    </row>
    <row r="93" spans="1:17" x14ac:dyDescent="0.3">
      <c r="A93" t="s">
        <v>82</v>
      </c>
      <c r="B93" s="39" t="s">
        <v>294</v>
      </c>
      <c r="C93" t="s">
        <v>295</v>
      </c>
      <c r="D93" s="39" t="s">
        <v>300</v>
      </c>
      <c r="E93" t="s">
        <v>301</v>
      </c>
      <c r="F93" t="s">
        <v>87</v>
      </c>
      <c r="G93" t="s">
        <v>88</v>
      </c>
      <c r="H93" s="39">
        <v>2</v>
      </c>
      <c r="I93" s="39" t="s">
        <v>89</v>
      </c>
      <c r="J93" s="39" t="s">
        <v>90</v>
      </c>
      <c r="K93" s="39" t="s">
        <v>90</v>
      </c>
      <c r="L93" s="39" t="s">
        <v>90</v>
      </c>
      <c r="M93" s="39" t="s">
        <v>90</v>
      </c>
      <c r="N93" s="39" t="s">
        <v>90</v>
      </c>
      <c r="O93" s="39" t="s">
        <v>91</v>
      </c>
      <c r="P93" s="39" t="s">
        <v>93</v>
      </c>
      <c r="Q93" s="39">
        <v>0</v>
      </c>
    </row>
    <row r="94" spans="1:17" x14ac:dyDescent="0.3">
      <c r="A94" t="s">
        <v>82</v>
      </c>
      <c r="B94" s="39" t="s">
        <v>294</v>
      </c>
      <c r="C94" t="s">
        <v>295</v>
      </c>
      <c r="D94" s="39" t="s">
        <v>302</v>
      </c>
      <c r="E94" t="s">
        <v>303</v>
      </c>
      <c r="F94" t="s">
        <v>87</v>
      </c>
      <c r="G94" t="s">
        <v>88</v>
      </c>
      <c r="H94" s="39">
        <v>2</v>
      </c>
      <c r="I94" s="39" t="s">
        <v>89</v>
      </c>
      <c r="J94" s="39" t="s">
        <v>90</v>
      </c>
      <c r="K94" s="39" t="s">
        <v>90</v>
      </c>
      <c r="L94" s="39" t="s">
        <v>90</v>
      </c>
      <c r="M94" s="39" t="s">
        <v>90</v>
      </c>
      <c r="N94" s="39" t="s">
        <v>90</v>
      </c>
      <c r="O94" s="39" t="s">
        <v>91</v>
      </c>
      <c r="P94" s="39" t="s">
        <v>93</v>
      </c>
      <c r="Q94" s="39">
        <v>0</v>
      </c>
    </row>
    <row r="95" spans="1:17" x14ac:dyDescent="0.3">
      <c r="A95" t="s">
        <v>82</v>
      </c>
      <c r="B95" s="39" t="s">
        <v>294</v>
      </c>
      <c r="C95" t="s">
        <v>295</v>
      </c>
      <c r="D95" s="39" t="s">
        <v>304</v>
      </c>
      <c r="E95" t="s">
        <v>305</v>
      </c>
      <c r="F95" t="s">
        <v>96</v>
      </c>
      <c r="G95" t="s">
        <v>97</v>
      </c>
      <c r="H95" s="39">
        <v>7</v>
      </c>
      <c r="I95" s="39" t="s">
        <v>89</v>
      </c>
      <c r="J95" s="39" t="s">
        <v>91</v>
      </c>
      <c r="K95" s="39" t="s">
        <v>92</v>
      </c>
      <c r="L95" s="39" t="s">
        <v>91</v>
      </c>
      <c r="M95" s="39" t="s">
        <v>92</v>
      </c>
      <c r="N95" s="39" t="s">
        <v>92</v>
      </c>
      <c r="O95" s="39" t="s">
        <v>92</v>
      </c>
      <c r="P95" s="39" t="s">
        <v>92</v>
      </c>
      <c r="Q95" s="39">
        <v>5</v>
      </c>
    </row>
    <row r="96" spans="1:17" x14ac:dyDescent="0.3">
      <c r="A96" t="s">
        <v>82</v>
      </c>
      <c r="B96" s="39" t="s">
        <v>294</v>
      </c>
      <c r="C96" t="s">
        <v>295</v>
      </c>
      <c r="D96" s="39" t="s">
        <v>306</v>
      </c>
      <c r="E96" t="s">
        <v>307</v>
      </c>
      <c r="F96" t="s">
        <v>96</v>
      </c>
      <c r="G96" t="s">
        <v>97</v>
      </c>
      <c r="H96" s="39">
        <v>6</v>
      </c>
      <c r="I96" s="39" t="s">
        <v>89</v>
      </c>
      <c r="J96" s="39" t="s">
        <v>90</v>
      </c>
      <c r="K96" s="39" t="s">
        <v>91</v>
      </c>
      <c r="L96" s="39" t="s">
        <v>91</v>
      </c>
      <c r="M96" s="39" t="s">
        <v>92</v>
      </c>
      <c r="N96" s="39" t="s">
        <v>92</v>
      </c>
      <c r="O96" s="39" t="s">
        <v>92</v>
      </c>
      <c r="P96" s="39" t="s">
        <v>92</v>
      </c>
      <c r="Q96" s="39">
        <v>4</v>
      </c>
    </row>
    <row r="97" spans="1:17" x14ac:dyDescent="0.3">
      <c r="A97" t="s">
        <v>308</v>
      </c>
      <c r="B97" s="39" t="s">
        <v>309</v>
      </c>
      <c r="C97" t="s">
        <v>310</v>
      </c>
      <c r="D97" s="39" t="s">
        <v>311</v>
      </c>
      <c r="E97" t="s">
        <v>312</v>
      </c>
      <c r="F97" t="s">
        <v>87</v>
      </c>
      <c r="G97" t="s">
        <v>88</v>
      </c>
      <c r="H97" s="39">
        <v>2</v>
      </c>
      <c r="I97" s="39" t="s">
        <v>89</v>
      </c>
      <c r="J97" s="39" t="s">
        <v>90</v>
      </c>
      <c r="K97" s="39" t="s">
        <v>90</v>
      </c>
      <c r="L97" s="39" t="s">
        <v>90</v>
      </c>
      <c r="M97" s="39" t="s">
        <v>90</v>
      </c>
      <c r="N97" s="39" t="s">
        <v>90</v>
      </c>
      <c r="O97" s="39" t="s">
        <v>91</v>
      </c>
      <c r="P97" s="39" t="s">
        <v>93</v>
      </c>
      <c r="Q97" s="39">
        <v>0</v>
      </c>
    </row>
    <row r="98" spans="1:17" x14ac:dyDescent="0.3">
      <c r="A98" t="s">
        <v>308</v>
      </c>
      <c r="B98" s="39" t="s">
        <v>309</v>
      </c>
      <c r="C98" t="s">
        <v>310</v>
      </c>
      <c r="D98" s="39" t="s">
        <v>313</v>
      </c>
      <c r="E98" t="s">
        <v>314</v>
      </c>
      <c r="F98" t="s">
        <v>110</v>
      </c>
      <c r="G98" t="s">
        <v>88</v>
      </c>
      <c r="H98" s="39">
        <v>1</v>
      </c>
      <c r="I98" s="39" t="s">
        <v>89</v>
      </c>
      <c r="J98" s="39" t="s">
        <v>90</v>
      </c>
      <c r="K98" s="39" t="s">
        <v>90</v>
      </c>
      <c r="L98" s="39" t="s">
        <v>90</v>
      </c>
      <c r="M98" s="39" t="s">
        <v>90</v>
      </c>
      <c r="N98" s="39" t="s">
        <v>90</v>
      </c>
      <c r="O98" s="39" t="s">
        <v>90</v>
      </c>
      <c r="P98" s="39" t="s">
        <v>91</v>
      </c>
      <c r="Q98" s="39">
        <v>0</v>
      </c>
    </row>
    <row r="99" spans="1:17" x14ac:dyDescent="0.3">
      <c r="A99" t="s">
        <v>308</v>
      </c>
      <c r="B99" s="39" t="s">
        <v>309</v>
      </c>
      <c r="C99" t="s">
        <v>310</v>
      </c>
      <c r="D99" s="39" t="s">
        <v>315</v>
      </c>
      <c r="E99" t="s">
        <v>316</v>
      </c>
      <c r="F99" t="s">
        <v>110</v>
      </c>
      <c r="G99" t="s">
        <v>88</v>
      </c>
      <c r="H99" s="39">
        <v>1</v>
      </c>
      <c r="I99" s="39" t="s">
        <v>89</v>
      </c>
      <c r="J99" s="39" t="s">
        <v>90</v>
      </c>
      <c r="K99" s="39" t="s">
        <v>90</v>
      </c>
      <c r="L99" s="39" t="s">
        <v>90</v>
      </c>
      <c r="M99" s="39" t="s">
        <v>90</v>
      </c>
      <c r="N99" s="39" t="s">
        <v>90</v>
      </c>
      <c r="O99" s="39" t="s">
        <v>90</v>
      </c>
      <c r="P99" s="39" t="s">
        <v>91</v>
      </c>
      <c r="Q99" s="39">
        <v>0</v>
      </c>
    </row>
    <row r="100" spans="1:17" x14ac:dyDescent="0.3">
      <c r="A100" t="s">
        <v>308</v>
      </c>
      <c r="B100" s="39" t="s">
        <v>309</v>
      </c>
      <c r="C100" t="s">
        <v>310</v>
      </c>
      <c r="D100" s="39" t="s">
        <v>317</v>
      </c>
      <c r="E100" t="s">
        <v>318</v>
      </c>
      <c r="F100" t="s">
        <v>87</v>
      </c>
      <c r="G100" t="s">
        <v>88</v>
      </c>
      <c r="H100" s="39">
        <v>2</v>
      </c>
      <c r="I100" s="39" t="s">
        <v>89</v>
      </c>
      <c r="J100" s="39" t="s">
        <v>90</v>
      </c>
      <c r="K100" s="39" t="s">
        <v>90</v>
      </c>
      <c r="L100" s="39" t="s">
        <v>90</v>
      </c>
      <c r="M100" s="39" t="s">
        <v>90</v>
      </c>
      <c r="N100" s="39" t="s">
        <v>90</v>
      </c>
      <c r="O100" s="39" t="s">
        <v>91</v>
      </c>
      <c r="P100" s="39" t="s">
        <v>93</v>
      </c>
      <c r="Q100" s="39">
        <v>0</v>
      </c>
    </row>
    <row r="101" spans="1:17" x14ac:dyDescent="0.3">
      <c r="A101" t="s">
        <v>308</v>
      </c>
      <c r="B101" s="39" t="s">
        <v>309</v>
      </c>
      <c r="C101" t="s">
        <v>310</v>
      </c>
      <c r="D101" s="39" t="s">
        <v>319</v>
      </c>
      <c r="E101" t="s">
        <v>320</v>
      </c>
      <c r="F101" t="s">
        <v>87</v>
      </c>
      <c r="G101" t="s">
        <v>88</v>
      </c>
      <c r="H101" s="39">
        <v>2</v>
      </c>
      <c r="I101" s="39" t="s">
        <v>89</v>
      </c>
      <c r="J101" s="39" t="s">
        <v>90</v>
      </c>
      <c r="K101" s="39" t="s">
        <v>90</v>
      </c>
      <c r="L101" s="39" t="s">
        <v>90</v>
      </c>
      <c r="M101" s="39" t="s">
        <v>90</v>
      </c>
      <c r="N101" s="39" t="s">
        <v>90</v>
      </c>
      <c r="O101" s="39" t="s">
        <v>91</v>
      </c>
      <c r="P101" s="39" t="s">
        <v>93</v>
      </c>
      <c r="Q101" s="39">
        <v>0</v>
      </c>
    </row>
    <row r="102" spans="1:17" x14ac:dyDescent="0.3">
      <c r="A102" t="s">
        <v>308</v>
      </c>
      <c r="B102" s="39" t="s">
        <v>309</v>
      </c>
      <c r="C102" t="s">
        <v>310</v>
      </c>
      <c r="D102" s="39" t="s">
        <v>321</v>
      </c>
      <c r="E102" t="s">
        <v>322</v>
      </c>
      <c r="F102" t="s">
        <v>96</v>
      </c>
      <c r="G102" t="s">
        <v>88</v>
      </c>
      <c r="H102" s="39">
        <v>2</v>
      </c>
      <c r="I102" s="39" t="s">
        <v>89</v>
      </c>
      <c r="J102" s="39" t="s">
        <v>90</v>
      </c>
      <c r="K102" s="39" t="s">
        <v>90</v>
      </c>
      <c r="L102" s="39" t="s">
        <v>90</v>
      </c>
      <c r="M102" s="39" t="s">
        <v>90</v>
      </c>
      <c r="N102" s="39" t="s">
        <v>90</v>
      </c>
      <c r="O102" s="39" t="s">
        <v>91</v>
      </c>
      <c r="P102" s="39" t="s">
        <v>92</v>
      </c>
      <c r="Q102" s="39">
        <v>1</v>
      </c>
    </row>
    <row r="103" spans="1:17" x14ac:dyDescent="0.3">
      <c r="A103" t="s">
        <v>193</v>
      </c>
      <c r="B103" s="39" t="s">
        <v>323</v>
      </c>
      <c r="C103" t="s">
        <v>324</v>
      </c>
      <c r="D103" s="39" t="s">
        <v>325</v>
      </c>
      <c r="E103" t="s">
        <v>326</v>
      </c>
      <c r="F103" t="s">
        <v>110</v>
      </c>
      <c r="G103" t="s">
        <v>88</v>
      </c>
      <c r="H103" s="39">
        <v>1</v>
      </c>
      <c r="I103" s="39" t="s">
        <v>89</v>
      </c>
      <c r="J103" s="39" t="s">
        <v>90</v>
      </c>
      <c r="K103" s="39" t="s">
        <v>90</v>
      </c>
      <c r="L103" s="39" t="s">
        <v>90</v>
      </c>
      <c r="M103" s="39" t="s">
        <v>90</v>
      </c>
      <c r="N103" s="39" t="s">
        <v>90</v>
      </c>
      <c r="O103" s="39" t="s">
        <v>90</v>
      </c>
      <c r="P103" s="39" t="s">
        <v>91</v>
      </c>
      <c r="Q103" s="39">
        <v>0</v>
      </c>
    </row>
    <row r="104" spans="1:17" x14ac:dyDescent="0.3">
      <c r="A104" t="s">
        <v>193</v>
      </c>
      <c r="B104" s="39" t="s">
        <v>323</v>
      </c>
      <c r="C104" t="s">
        <v>324</v>
      </c>
      <c r="D104" s="39" t="s">
        <v>327</v>
      </c>
      <c r="E104" t="s">
        <v>328</v>
      </c>
      <c r="F104" t="s">
        <v>110</v>
      </c>
      <c r="G104" t="s">
        <v>88</v>
      </c>
      <c r="H104" s="39">
        <v>1</v>
      </c>
      <c r="I104" s="39" t="s">
        <v>89</v>
      </c>
      <c r="J104" s="39" t="s">
        <v>90</v>
      </c>
      <c r="K104" s="39" t="s">
        <v>90</v>
      </c>
      <c r="L104" s="39" t="s">
        <v>90</v>
      </c>
      <c r="M104" s="39" t="s">
        <v>90</v>
      </c>
      <c r="N104" s="39" t="s">
        <v>90</v>
      </c>
      <c r="O104" s="39" t="s">
        <v>90</v>
      </c>
      <c r="P104" s="39" t="s">
        <v>91</v>
      </c>
      <c r="Q104" s="39">
        <v>0</v>
      </c>
    </row>
    <row r="105" spans="1:17" x14ac:dyDescent="0.3">
      <c r="A105" t="s">
        <v>193</v>
      </c>
      <c r="B105" s="39" t="s">
        <v>323</v>
      </c>
      <c r="C105" t="s">
        <v>324</v>
      </c>
      <c r="D105" s="39" t="s">
        <v>329</v>
      </c>
      <c r="E105" t="s">
        <v>330</v>
      </c>
      <c r="F105" t="s">
        <v>110</v>
      </c>
      <c r="G105" t="s">
        <v>88</v>
      </c>
      <c r="H105" s="39">
        <v>1</v>
      </c>
      <c r="I105" s="39" t="s">
        <v>89</v>
      </c>
      <c r="J105" s="39" t="s">
        <v>90</v>
      </c>
      <c r="K105" s="39" t="s">
        <v>90</v>
      </c>
      <c r="L105" s="39" t="s">
        <v>90</v>
      </c>
      <c r="M105" s="39" t="s">
        <v>90</v>
      </c>
      <c r="N105" s="39" t="s">
        <v>90</v>
      </c>
      <c r="O105" s="39" t="s">
        <v>90</v>
      </c>
      <c r="P105" s="39" t="s">
        <v>91</v>
      </c>
      <c r="Q105" s="39">
        <v>0</v>
      </c>
    </row>
    <row r="106" spans="1:17" x14ac:dyDescent="0.3">
      <c r="A106" t="s">
        <v>193</v>
      </c>
      <c r="B106" s="39" t="s">
        <v>323</v>
      </c>
      <c r="C106" t="s">
        <v>324</v>
      </c>
      <c r="D106" s="39" t="s">
        <v>331</v>
      </c>
      <c r="E106" t="s">
        <v>332</v>
      </c>
      <c r="F106" t="s">
        <v>110</v>
      </c>
      <c r="G106" t="s">
        <v>88</v>
      </c>
      <c r="H106" s="39">
        <v>1</v>
      </c>
      <c r="I106" s="39" t="s">
        <v>89</v>
      </c>
      <c r="J106" s="39" t="s">
        <v>90</v>
      </c>
      <c r="K106" s="39" t="s">
        <v>90</v>
      </c>
      <c r="L106" s="39" t="s">
        <v>90</v>
      </c>
      <c r="M106" s="39" t="s">
        <v>90</v>
      </c>
      <c r="N106" s="39" t="s">
        <v>90</v>
      </c>
      <c r="O106" s="39" t="s">
        <v>90</v>
      </c>
      <c r="P106" s="39" t="s">
        <v>91</v>
      </c>
      <c r="Q106" s="39">
        <v>0</v>
      </c>
    </row>
    <row r="107" spans="1:17" x14ac:dyDescent="0.3">
      <c r="A107" t="s">
        <v>193</v>
      </c>
      <c r="B107" s="39" t="s">
        <v>323</v>
      </c>
      <c r="C107" t="s">
        <v>324</v>
      </c>
      <c r="D107" s="39" t="s">
        <v>333</v>
      </c>
      <c r="E107" t="s">
        <v>334</v>
      </c>
      <c r="F107" t="s">
        <v>110</v>
      </c>
      <c r="G107" t="s">
        <v>88</v>
      </c>
      <c r="H107" s="39">
        <v>1</v>
      </c>
      <c r="I107" s="39" t="s">
        <v>89</v>
      </c>
      <c r="J107" s="39" t="s">
        <v>90</v>
      </c>
      <c r="K107" s="39" t="s">
        <v>90</v>
      </c>
      <c r="L107" s="39" t="s">
        <v>90</v>
      </c>
      <c r="M107" s="39" t="s">
        <v>90</v>
      </c>
      <c r="N107" s="39" t="s">
        <v>90</v>
      </c>
      <c r="O107" s="39" t="s">
        <v>90</v>
      </c>
      <c r="P107" s="39" t="s">
        <v>91</v>
      </c>
      <c r="Q107" s="39">
        <v>0</v>
      </c>
    </row>
    <row r="108" spans="1:17" x14ac:dyDescent="0.3">
      <c r="A108" t="s">
        <v>193</v>
      </c>
      <c r="B108" s="39" t="s">
        <v>323</v>
      </c>
      <c r="C108" t="s">
        <v>324</v>
      </c>
      <c r="D108" s="39" t="s">
        <v>335</v>
      </c>
      <c r="E108" t="s">
        <v>336</v>
      </c>
      <c r="F108" t="s">
        <v>110</v>
      </c>
      <c r="G108" t="s">
        <v>88</v>
      </c>
      <c r="H108" s="39">
        <v>1</v>
      </c>
      <c r="I108" s="39" t="s">
        <v>89</v>
      </c>
      <c r="J108" s="39" t="s">
        <v>90</v>
      </c>
      <c r="K108" s="39" t="s">
        <v>90</v>
      </c>
      <c r="L108" s="39" t="s">
        <v>90</v>
      </c>
      <c r="M108" s="39" t="s">
        <v>90</v>
      </c>
      <c r="N108" s="39" t="s">
        <v>90</v>
      </c>
      <c r="O108" s="39" t="s">
        <v>90</v>
      </c>
      <c r="P108" s="39" t="s">
        <v>91</v>
      </c>
      <c r="Q108" s="39">
        <v>0</v>
      </c>
    </row>
    <row r="109" spans="1:17" x14ac:dyDescent="0.3">
      <c r="A109" t="s">
        <v>337</v>
      </c>
      <c r="B109" s="39" t="s">
        <v>338</v>
      </c>
      <c r="C109" t="s">
        <v>339</v>
      </c>
      <c r="D109" s="39" t="s">
        <v>340</v>
      </c>
      <c r="E109" t="s">
        <v>341</v>
      </c>
      <c r="F109" t="s">
        <v>110</v>
      </c>
      <c r="G109" t="s">
        <v>88</v>
      </c>
      <c r="H109" s="39">
        <v>1</v>
      </c>
      <c r="I109" s="39" t="s">
        <v>89</v>
      </c>
      <c r="J109" s="39" t="s">
        <v>90</v>
      </c>
      <c r="K109" s="39" t="s">
        <v>90</v>
      </c>
      <c r="L109" s="39" t="s">
        <v>90</v>
      </c>
      <c r="M109" s="39" t="s">
        <v>90</v>
      </c>
      <c r="N109" s="39" t="s">
        <v>90</v>
      </c>
      <c r="O109" s="39" t="s">
        <v>90</v>
      </c>
      <c r="P109" s="39" t="s">
        <v>91</v>
      </c>
      <c r="Q109" s="39">
        <v>0</v>
      </c>
    </row>
    <row r="110" spans="1:17" x14ac:dyDescent="0.3">
      <c r="A110" t="s">
        <v>337</v>
      </c>
      <c r="B110" s="39" t="s">
        <v>338</v>
      </c>
      <c r="C110" t="s">
        <v>339</v>
      </c>
      <c r="D110" s="39" t="s">
        <v>342</v>
      </c>
      <c r="E110" t="s">
        <v>343</v>
      </c>
      <c r="F110" t="s">
        <v>87</v>
      </c>
      <c r="G110" t="s">
        <v>88</v>
      </c>
      <c r="H110" s="39">
        <v>2</v>
      </c>
      <c r="I110" s="39" t="s">
        <v>89</v>
      </c>
      <c r="J110" s="39" t="s">
        <v>90</v>
      </c>
      <c r="K110" s="39" t="s">
        <v>90</v>
      </c>
      <c r="L110" s="39" t="s">
        <v>90</v>
      </c>
      <c r="M110" s="39" t="s">
        <v>90</v>
      </c>
      <c r="N110" s="39" t="s">
        <v>90</v>
      </c>
      <c r="O110" s="39" t="s">
        <v>91</v>
      </c>
      <c r="P110" s="39" t="s">
        <v>93</v>
      </c>
      <c r="Q110" s="39">
        <v>0</v>
      </c>
    </row>
    <row r="111" spans="1:17" x14ac:dyDescent="0.3">
      <c r="A111" t="s">
        <v>337</v>
      </c>
      <c r="B111" s="39" t="s">
        <v>338</v>
      </c>
      <c r="C111" t="s">
        <v>339</v>
      </c>
      <c r="D111" s="39" t="s">
        <v>344</v>
      </c>
      <c r="E111" t="s">
        <v>345</v>
      </c>
      <c r="F111" t="s">
        <v>110</v>
      </c>
      <c r="G111" t="s">
        <v>88</v>
      </c>
      <c r="H111" s="39">
        <v>1</v>
      </c>
      <c r="I111" s="39" t="s">
        <v>89</v>
      </c>
      <c r="J111" s="39" t="s">
        <v>90</v>
      </c>
      <c r="K111" s="39" t="s">
        <v>90</v>
      </c>
      <c r="L111" s="39" t="s">
        <v>90</v>
      </c>
      <c r="M111" s="39" t="s">
        <v>90</v>
      </c>
      <c r="N111" s="39" t="s">
        <v>90</v>
      </c>
      <c r="O111" s="39" t="s">
        <v>90</v>
      </c>
      <c r="P111" s="39" t="s">
        <v>91</v>
      </c>
      <c r="Q111" s="39">
        <v>0</v>
      </c>
    </row>
    <row r="112" spans="1:17" x14ac:dyDescent="0.3">
      <c r="A112" t="s">
        <v>337</v>
      </c>
      <c r="B112" s="39" t="s">
        <v>346</v>
      </c>
      <c r="C112" t="s">
        <v>347</v>
      </c>
      <c r="D112" s="39" t="s">
        <v>348</v>
      </c>
      <c r="E112" t="s">
        <v>349</v>
      </c>
      <c r="F112" t="s">
        <v>110</v>
      </c>
      <c r="G112" t="s">
        <v>88</v>
      </c>
      <c r="H112" s="39">
        <v>1</v>
      </c>
      <c r="I112" s="39" t="s">
        <v>89</v>
      </c>
      <c r="J112" s="39" t="s">
        <v>90</v>
      </c>
      <c r="K112" s="39" t="s">
        <v>90</v>
      </c>
      <c r="L112" s="39" t="s">
        <v>90</v>
      </c>
      <c r="M112" s="39" t="s">
        <v>90</v>
      </c>
      <c r="N112" s="39" t="s">
        <v>90</v>
      </c>
      <c r="O112" s="39" t="s">
        <v>90</v>
      </c>
      <c r="P112" s="39" t="s">
        <v>91</v>
      </c>
      <c r="Q112" s="39">
        <v>0</v>
      </c>
    </row>
    <row r="113" spans="1:17" x14ac:dyDescent="0.3">
      <c r="A113" t="s">
        <v>337</v>
      </c>
      <c r="B113" s="39" t="s">
        <v>346</v>
      </c>
      <c r="C113" t="s">
        <v>347</v>
      </c>
      <c r="D113" s="39" t="s">
        <v>350</v>
      </c>
      <c r="E113" t="s">
        <v>351</v>
      </c>
      <c r="F113" t="s">
        <v>87</v>
      </c>
      <c r="G113" t="s">
        <v>88</v>
      </c>
      <c r="H113" s="39">
        <v>2</v>
      </c>
      <c r="I113" s="39" t="s">
        <v>89</v>
      </c>
      <c r="J113" s="39" t="s">
        <v>90</v>
      </c>
      <c r="K113" s="39" t="s">
        <v>90</v>
      </c>
      <c r="L113" s="39" t="s">
        <v>90</v>
      </c>
      <c r="M113" s="39" t="s">
        <v>90</v>
      </c>
      <c r="N113" s="39" t="s">
        <v>90</v>
      </c>
      <c r="O113" s="39" t="s">
        <v>91</v>
      </c>
      <c r="P113" s="39" t="s">
        <v>93</v>
      </c>
      <c r="Q113" s="39">
        <v>0</v>
      </c>
    </row>
    <row r="114" spans="1:17" x14ac:dyDescent="0.3">
      <c r="A114" t="s">
        <v>337</v>
      </c>
      <c r="B114" s="39" t="s">
        <v>346</v>
      </c>
      <c r="C114" t="s">
        <v>347</v>
      </c>
      <c r="D114" s="39" t="s">
        <v>352</v>
      </c>
      <c r="E114" t="s">
        <v>353</v>
      </c>
      <c r="F114" t="s">
        <v>110</v>
      </c>
      <c r="G114" t="s">
        <v>354</v>
      </c>
      <c r="H114" s="39">
        <v>1</v>
      </c>
      <c r="I114" s="39" t="s">
        <v>89</v>
      </c>
      <c r="J114" s="39" t="s">
        <v>90</v>
      </c>
      <c r="K114" s="39" t="s">
        <v>90</v>
      </c>
      <c r="L114" s="39" t="s">
        <v>90</v>
      </c>
      <c r="M114" s="39" t="s">
        <v>90</v>
      </c>
      <c r="N114" s="39" t="s">
        <v>90</v>
      </c>
      <c r="O114" s="39" t="s">
        <v>90</v>
      </c>
      <c r="P114" s="39" t="s">
        <v>91</v>
      </c>
      <c r="Q114" s="39">
        <v>0</v>
      </c>
    </row>
    <row r="115" spans="1:17" x14ac:dyDescent="0.3">
      <c r="A115" t="s">
        <v>337</v>
      </c>
      <c r="B115" s="39" t="s">
        <v>346</v>
      </c>
      <c r="C115" t="s">
        <v>347</v>
      </c>
      <c r="D115" s="39" t="s">
        <v>355</v>
      </c>
      <c r="E115" t="s">
        <v>356</v>
      </c>
      <c r="F115" t="s">
        <v>96</v>
      </c>
      <c r="G115" t="s">
        <v>88</v>
      </c>
      <c r="H115" s="39">
        <v>2</v>
      </c>
      <c r="I115" s="39" t="s">
        <v>89</v>
      </c>
      <c r="J115" s="39" t="s">
        <v>90</v>
      </c>
      <c r="K115" s="39" t="s">
        <v>90</v>
      </c>
      <c r="L115" s="39" t="s">
        <v>90</v>
      </c>
      <c r="M115" s="39" t="s">
        <v>90</v>
      </c>
      <c r="N115" s="39" t="s">
        <v>90</v>
      </c>
      <c r="O115" s="39" t="s">
        <v>91</v>
      </c>
      <c r="P115" s="39" t="s">
        <v>92</v>
      </c>
      <c r="Q115" s="39">
        <v>1</v>
      </c>
    </row>
    <row r="116" spans="1:17" x14ac:dyDescent="0.3">
      <c r="A116" t="s">
        <v>337</v>
      </c>
      <c r="B116" s="39" t="s">
        <v>346</v>
      </c>
      <c r="C116" t="s">
        <v>347</v>
      </c>
      <c r="D116" s="39" t="s">
        <v>357</v>
      </c>
      <c r="E116" t="s">
        <v>358</v>
      </c>
      <c r="F116" t="s">
        <v>110</v>
      </c>
      <c r="G116" t="s">
        <v>88</v>
      </c>
      <c r="H116" s="39">
        <v>1</v>
      </c>
      <c r="I116" s="39" t="s">
        <v>89</v>
      </c>
      <c r="J116" s="39" t="s">
        <v>90</v>
      </c>
      <c r="K116" s="39" t="s">
        <v>90</v>
      </c>
      <c r="L116" s="39" t="s">
        <v>90</v>
      </c>
      <c r="M116" s="39" t="s">
        <v>90</v>
      </c>
      <c r="N116" s="39" t="s">
        <v>90</v>
      </c>
      <c r="O116" s="39" t="s">
        <v>90</v>
      </c>
      <c r="P116" s="39" t="s">
        <v>91</v>
      </c>
      <c r="Q116" s="39">
        <v>0</v>
      </c>
    </row>
    <row r="117" spans="1:17" x14ac:dyDescent="0.3">
      <c r="A117" t="s">
        <v>337</v>
      </c>
      <c r="B117" s="39" t="s">
        <v>346</v>
      </c>
      <c r="C117" t="s">
        <v>347</v>
      </c>
      <c r="D117" s="39" t="s">
        <v>359</v>
      </c>
      <c r="E117" t="s">
        <v>360</v>
      </c>
      <c r="F117" t="s">
        <v>110</v>
      </c>
      <c r="G117" t="s">
        <v>88</v>
      </c>
      <c r="H117" s="39">
        <v>1</v>
      </c>
      <c r="I117" s="39" t="s">
        <v>89</v>
      </c>
      <c r="J117" s="39" t="s">
        <v>90</v>
      </c>
      <c r="K117" s="39" t="s">
        <v>90</v>
      </c>
      <c r="L117" s="39" t="s">
        <v>90</v>
      </c>
      <c r="M117" s="39" t="s">
        <v>90</v>
      </c>
      <c r="N117" s="39" t="s">
        <v>90</v>
      </c>
      <c r="O117" s="39" t="s">
        <v>90</v>
      </c>
      <c r="P117" s="39" t="s">
        <v>91</v>
      </c>
      <c r="Q117" s="39">
        <v>0</v>
      </c>
    </row>
    <row r="118" spans="1:17" x14ac:dyDescent="0.3">
      <c r="A118" t="s">
        <v>337</v>
      </c>
      <c r="B118" s="39" t="s">
        <v>346</v>
      </c>
      <c r="C118" t="s">
        <v>347</v>
      </c>
      <c r="D118" s="39" t="s">
        <v>361</v>
      </c>
      <c r="E118" t="s">
        <v>362</v>
      </c>
      <c r="F118" t="s">
        <v>110</v>
      </c>
      <c r="G118" t="s">
        <v>88</v>
      </c>
      <c r="H118" s="39">
        <v>1</v>
      </c>
      <c r="I118" s="39" t="s">
        <v>89</v>
      </c>
      <c r="J118" s="39" t="s">
        <v>90</v>
      </c>
      <c r="K118" s="39" t="s">
        <v>90</v>
      </c>
      <c r="L118" s="39" t="s">
        <v>90</v>
      </c>
      <c r="M118" s="39" t="s">
        <v>90</v>
      </c>
      <c r="N118" s="39" t="s">
        <v>90</v>
      </c>
      <c r="O118" s="39" t="s">
        <v>90</v>
      </c>
      <c r="P118" s="39" t="s">
        <v>91</v>
      </c>
      <c r="Q118" s="39">
        <v>0</v>
      </c>
    </row>
    <row r="119" spans="1:17" x14ac:dyDescent="0.3">
      <c r="A119" t="s">
        <v>337</v>
      </c>
      <c r="B119" s="39" t="s">
        <v>346</v>
      </c>
      <c r="C119" t="s">
        <v>347</v>
      </c>
      <c r="D119" s="39" t="s">
        <v>363</v>
      </c>
      <c r="E119" t="s">
        <v>364</v>
      </c>
      <c r="F119" t="s">
        <v>87</v>
      </c>
      <c r="G119" t="s">
        <v>88</v>
      </c>
      <c r="H119" s="39">
        <v>2</v>
      </c>
      <c r="I119" s="39" t="s">
        <v>89</v>
      </c>
      <c r="J119" s="39" t="s">
        <v>90</v>
      </c>
      <c r="K119" s="39" t="s">
        <v>90</v>
      </c>
      <c r="L119" s="39" t="s">
        <v>90</v>
      </c>
      <c r="M119" s="39" t="s">
        <v>90</v>
      </c>
      <c r="N119" s="39" t="s">
        <v>90</v>
      </c>
      <c r="O119" s="39" t="s">
        <v>91</v>
      </c>
      <c r="P119" s="39" t="s">
        <v>93</v>
      </c>
      <c r="Q119" s="39">
        <v>0</v>
      </c>
    </row>
    <row r="120" spans="1:17" x14ac:dyDescent="0.3">
      <c r="A120" t="s">
        <v>193</v>
      </c>
      <c r="B120" s="39" t="s">
        <v>365</v>
      </c>
      <c r="C120" t="s">
        <v>366</v>
      </c>
      <c r="D120" s="39" t="s">
        <v>367</v>
      </c>
      <c r="E120" t="s">
        <v>368</v>
      </c>
      <c r="F120" t="s">
        <v>110</v>
      </c>
      <c r="G120" t="s">
        <v>88</v>
      </c>
      <c r="H120" s="39">
        <v>1</v>
      </c>
      <c r="I120" s="39" t="s">
        <v>89</v>
      </c>
      <c r="J120" s="39" t="s">
        <v>90</v>
      </c>
      <c r="K120" s="39" t="s">
        <v>90</v>
      </c>
      <c r="L120" s="39" t="s">
        <v>90</v>
      </c>
      <c r="M120" s="39" t="s">
        <v>90</v>
      </c>
      <c r="N120" s="39" t="s">
        <v>90</v>
      </c>
      <c r="O120" s="39" t="s">
        <v>90</v>
      </c>
      <c r="P120" s="39" t="s">
        <v>91</v>
      </c>
      <c r="Q120" s="39">
        <v>0</v>
      </c>
    </row>
    <row r="121" spans="1:17" x14ac:dyDescent="0.3">
      <c r="A121" t="s">
        <v>193</v>
      </c>
      <c r="B121" s="39" t="s">
        <v>365</v>
      </c>
      <c r="C121" t="s">
        <v>366</v>
      </c>
      <c r="D121" s="39" t="s">
        <v>369</v>
      </c>
      <c r="E121" t="s">
        <v>370</v>
      </c>
      <c r="F121" t="s">
        <v>87</v>
      </c>
      <c r="G121" t="s">
        <v>88</v>
      </c>
      <c r="H121" s="39">
        <v>2</v>
      </c>
      <c r="I121" s="39" t="s">
        <v>89</v>
      </c>
      <c r="J121" s="39" t="s">
        <v>90</v>
      </c>
      <c r="K121" s="39" t="s">
        <v>90</v>
      </c>
      <c r="L121" s="39" t="s">
        <v>90</v>
      </c>
      <c r="M121" s="39" t="s">
        <v>90</v>
      </c>
      <c r="N121" s="39" t="s">
        <v>90</v>
      </c>
      <c r="O121" s="39" t="s">
        <v>91</v>
      </c>
      <c r="P121" s="39" t="s">
        <v>93</v>
      </c>
      <c r="Q121" s="39">
        <v>0</v>
      </c>
    </row>
    <row r="122" spans="1:17" x14ac:dyDescent="0.3">
      <c r="A122" t="s">
        <v>337</v>
      </c>
      <c r="B122" s="39" t="s">
        <v>371</v>
      </c>
      <c r="C122" t="s">
        <v>372</v>
      </c>
      <c r="D122" s="39" t="s">
        <v>373</v>
      </c>
      <c r="E122" t="s">
        <v>374</v>
      </c>
      <c r="F122" t="s">
        <v>87</v>
      </c>
      <c r="G122" t="s">
        <v>88</v>
      </c>
      <c r="H122" s="39">
        <v>2</v>
      </c>
      <c r="I122" s="39" t="s">
        <v>89</v>
      </c>
      <c r="J122" s="39" t="s">
        <v>90</v>
      </c>
      <c r="K122" s="39" t="s">
        <v>90</v>
      </c>
      <c r="L122" s="39" t="s">
        <v>90</v>
      </c>
      <c r="M122" s="39" t="s">
        <v>90</v>
      </c>
      <c r="N122" s="39" t="s">
        <v>90</v>
      </c>
      <c r="O122" s="39" t="s">
        <v>91</v>
      </c>
      <c r="P122" s="39" t="s">
        <v>93</v>
      </c>
      <c r="Q122" s="39">
        <v>0</v>
      </c>
    </row>
    <row r="123" spans="1:17" x14ac:dyDescent="0.3">
      <c r="A123" t="s">
        <v>337</v>
      </c>
      <c r="B123" s="39" t="s">
        <v>371</v>
      </c>
      <c r="C123" t="s">
        <v>372</v>
      </c>
      <c r="D123" s="39" t="s">
        <v>375</v>
      </c>
      <c r="E123" t="s">
        <v>376</v>
      </c>
      <c r="F123" t="s">
        <v>110</v>
      </c>
      <c r="G123" t="s">
        <v>354</v>
      </c>
      <c r="H123" s="39">
        <v>1</v>
      </c>
      <c r="I123" s="39" t="s">
        <v>89</v>
      </c>
      <c r="J123" s="39" t="s">
        <v>91</v>
      </c>
      <c r="K123" s="39" t="s">
        <v>92</v>
      </c>
      <c r="L123" s="39" t="s">
        <v>93</v>
      </c>
      <c r="M123" s="39" t="s">
        <v>90</v>
      </c>
      <c r="N123" s="39" t="s">
        <v>90</v>
      </c>
      <c r="O123" s="39" t="s">
        <v>90</v>
      </c>
      <c r="P123" s="39" t="s">
        <v>91</v>
      </c>
      <c r="Q123" s="39">
        <v>0</v>
      </c>
    </row>
    <row r="124" spans="1:17" x14ac:dyDescent="0.3">
      <c r="A124" t="s">
        <v>337</v>
      </c>
      <c r="B124" s="39" t="s">
        <v>371</v>
      </c>
      <c r="C124" t="s">
        <v>372</v>
      </c>
      <c r="D124" s="39" t="s">
        <v>377</v>
      </c>
      <c r="E124" t="s">
        <v>378</v>
      </c>
      <c r="F124" t="s">
        <v>87</v>
      </c>
      <c r="G124" t="s">
        <v>88</v>
      </c>
      <c r="H124" s="39">
        <v>3</v>
      </c>
      <c r="I124" s="39" t="s">
        <v>89</v>
      </c>
      <c r="J124" s="39" t="s">
        <v>90</v>
      </c>
      <c r="K124" s="39" t="s">
        <v>90</v>
      </c>
      <c r="L124" s="39" t="s">
        <v>90</v>
      </c>
      <c r="M124" s="39" t="s">
        <v>90</v>
      </c>
      <c r="N124" s="39" t="s">
        <v>91</v>
      </c>
      <c r="O124" s="39" t="s">
        <v>92</v>
      </c>
      <c r="P124" s="39" t="s">
        <v>93</v>
      </c>
      <c r="Q124" s="39">
        <v>1</v>
      </c>
    </row>
    <row r="125" spans="1:17" x14ac:dyDescent="0.3">
      <c r="A125" t="s">
        <v>337</v>
      </c>
      <c r="B125" s="39" t="s">
        <v>371</v>
      </c>
      <c r="C125" t="s">
        <v>372</v>
      </c>
      <c r="D125" s="39" t="s">
        <v>379</v>
      </c>
      <c r="E125" t="s">
        <v>380</v>
      </c>
      <c r="F125" t="s">
        <v>110</v>
      </c>
      <c r="G125" t="s">
        <v>88</v>
      </c>
      <c r="H125" s="39">
        <v>1</v>
      </c>
      <c r="I125" s="39" t="s">
        <v>89</v>
      </c>
      <c r="J125" s="39" t="s">
        <v>90</v>
      </c>
      <c r="K125" s="39" t="s">
        <v>90</v>
      </c>
      <c r="L125" s="39" t="s">
        <v>90</v>
      </c>
      <c r="M125" s="39" t="s">
        <v>90</v>
      </c>
      <c r="N125" s="39" t="s">
        <v>90</v>
      </c>
      <c r="O125" s="39" t="s">
        <v>90</v>
      </c>
      <c r="P125" s="39" t="s">
        <v>91</v>
      </c>
      <c r="Q125" s="39">
        <v>0</v>
      </c>
    </row>
    <row r="126" spans="1:17" x14ac:dyDescent="0.3">
      <c r="A126" t="s">
        <v>337</v>
      </c>
      <c r="B126" s="39" t="s">
        <v>371</v>
      </c>
      <c r="C126" t="s">
        <v>372</v>
      </c>
      <c r="D126" s="39" t="s">
        <v>381</v>
      </c>
      <c r="E126" t="s">
        <v>382</v>
      </c>
      <c r="F126" t="s">
        <v>110</v>
      </c>
      <c r="G126" t="s">
        <v>88</v>
      </c>
      <c r="H126" s="39">
        <v>1</v>
      </c>
      <c r="I126" s="39" t="s">
        <v>89</v>
      </c>
      <c r="J126" s="39" t="s">
        <v>90</v>
      </c>
      <c r="K126" s="39" t="s">
        <v>90</v>
      </c>
      <c r="L126" s="39" t="s">
        <v>90</v>
      </c>
      <c r="M126" s="39" t="s">
        <v>90</v>
      </c>
      <c r="N126" s="39" t="s">
        <v>90</v>
      </c>
      <c r="O126" s="39" t="s">
        <v>90</v>
      </c>
      <c r="P126" s="39" t="s">
        <v>91</v>
      </c>
      <c r="Q126" s="39">
        <v>0</v>
      </c>
    </row>
    <row r="127" spans="1:17" x14ac:dyDescent="0.3">
      <c r="A127" t="s">
        <v>337</v>
      </c>
      <c r="B127" s="39" t="s">
        <v>371</v>
      </c>
      <c r="C127" t="s">
        <v>372</v>
      </c>
      <c r="D127" s="39" t="s">
        <v>383</v>
      </c>
      <c r="E127" t="s">
        <v>384</v>
      </c>
      <c r="F127" t="s">
        <v>87</v>
      </c>
      <c r="G127" t="s">
        <v>88</v>
      </c>
      <c r="H127" s="39">
        <v>4</v>
      </c>
      <c r="I127" s="39" t="s">
        <v>89</v>
      </c>
      <c r="J127" s="39" t="s">
        <v>90</v>
      </c>
      <c r="K127" s="39" t="s">
        <v>90</v>
      </c>
      <c r="L127" s="39" t="s">
        <v>90</v>
      </c>
      <c r="M127" s="39" t="s">
        <v>91</v>
      </c>
      <c r="N127" s="39" t="s">
        <v>93</v>
      </c>
      <c r="O127" s="39" t="s">
        <v>91</v>
      </c>
      <c r="P127" s="39" t="s">
        <v>93</v>
      </c>
      <c r="Q127" s="39">
        <v>1</v>
      </c>
    </row>
    <row r="128" spans="1:17" x14ac:dyDescent="0.3">
      <c r="A128" t="s">
        <v>337</v>
      </c>
      <c r="B128" s="39" t="s">
        <v>371</v>
      </c>
      <c r="C128" t="s">
        <v>372</v>
      </c>
      <c r="D128" s="39" t="s">
        <v>385</v>
      </c>
      <c r="E128" t="s">
        <v>386</v>
      </c>
      <c r="F128" t="s">
        <v>87</v>
      </c>
      <c r="G128" t="s">
        <v>88</v>
      </c>
      <c r="H128" s="39">
        <v>2</v>
      </c>
      <c r="I128" s="39" t="s">
        <v>89</v>
      </c>
      <c r="J128" s="39" t="s">
        <v>90</v>
      </c>
      <c r="K128" s="39" t="s">
        <v>90</v>
      </c>
      <c r="L128" s="39" t="s">
        <v>90</v>
      </c>
      <c r="M128" s="39" t="s">
        <v>90</v>
      </c>
      <c r="N128" s="39" t="s">
        <v>90</v>
      </c>
      <c r="O128" s="39" t="s">
        <v>91</v>
      </c>
      <c r="P128" s="39" t="s">
        <v>93</v>
      </c>
      <c r="Q128" s="39">
        <v>0</v>
      </c>
    </row>
    <row r="129" spans="1:17" x14ac:dyDescent="0.3">
      <c r="A129" t="s">
        <v>337</v>
      </c>
      <c r="B129" s="39" t="s">
        <v>371</v>
      </c>
      <c r="C129" t="s">
        <v>372</v>
      </c>
      <c r="D129" s="39" t="s">
        <v>387</v>
      </c>
      <c r="E129" t="s">
        <v>388</v>
      </c>
      <c r="F129" t="s">
        <v>87</v>
      </c>
      <c r="G129" t="s">
        <v>88</v>
      </c>
      <c r="H129" s="39">
        <v>5</v>
      </c>
      <c r="I129" s="39" t="s">
        <v>89</v>
      </c>
      <c r="J129" s="39" t="s">
        <v>90</v>
      </c>
      <c r="K129" s="39" t="s">
        <v>91</v>
      </c>
      <c r="L129" s="39" t="s">
        <v>91</v>
      </c>
      <c r="M129" s="39" t="s">
        <v>93</v>
      </c>
      <c r="N129" s="39" t="s">
        <v>91</v>
      </c>
      <c r="O129" s="39" t="s">
        <v>92</v>
      </c>
      <c r="P129" s="39" t="s">
        <v>93</v>
      </c>
      <c r="Q129" s="39">
        <v>2</v>
      </c>
    </row>
    <row r="130" spans="1:17" x14ac:dyDescent="0.3">
      <c r="A130" t="s">
        <v>337</v>
      </c>
      <c r="B130" s="39" t="s">
        <v>371</v>
      </c>
      <c r="C130" t="s">
        <v>372</v>
      </c>
      <c r="D130" s="39" t="s">
        <v>389</v>
      </c>
      <c r="E130" t="s">
        <v>390</v>
      </c>
      <c r="F130" t="s">
        <v>87</v>
      </c>
      <c r="G130" t="s">
        <v>88</v>
      </c>
      <c r="H130" s="39">
        <v>3</v>
      </c>
      <c r="I130" s="39" t="s">
        <v>89</v>
      </c>
      <c r="J130" s="39" t="s">
        <v>90</v>
      </c>
      <c r="K130" s="39" t="s">
        <v>90</v>
      </c>
      <c r="L130" s="39" t="s">
        <v>90</v>
      </c>
      <c r="M130" s="39" t="s">
        <v>90</v>
      </c>
      <c r="N130" s="39" t="s">
        <v>91</v>
      </c>
      <c r="O130" s="39" t="s">
        <v>92</v>
      </c>
      <c r="P130" s="39" t="s">
        <v>93</v>
      </c>
      <c r="Q130" s="39">
        <v>1</v>
      </c>
    </row>
    <row r="131" spans="1:17" x14ac:dyDescent="0.3">
      <c r="A131" t="s">
        <v>337</v>
      </c>
      <c r="B131" s="39" t="s">
        <v>371</v>
      </c>
      <c r="C131" t="s">
        <v>372</v>
      </c>
      <c r="D131" s="39" t="s">
        <v>391</v>
      </c>
      <c r="E131" t="s">
        <v>392</v>
      </c>
      <c r="F131" t="s">
        <v>110</v>
      </c>
      <c r="G131" t="s">
        <v>88</v>
      </c>
      <c r="H131" s="39">
        <v>1</v>
      </c>
      <c r="I131" s="39" t="s">
        <v>89</v>
      </c>
      <c r="J131" s="39" t="s">
        <v>90</v>
      </c>
      <c r="K131" s="39" t="s">
        <v>90</v>
      </c>
      <c r="L131" s="39" t="s">
        <v>90</v>
      </c>
      <c r="M131" s="39" t="s">
        <v>90</v>
      </c>
      <c r="N131" s="39" t="s">
        <v>90</v>
      </c>
      <c r="O131" s="39" t="s">
        <v>90</v>
      </c>
      <c r="P131" s="39" t="s">
        <v>91</v>
      </c>
      <c r="Q131" s="39">
        <v>0</v>
      </c>
    </row>
    <row r="132" spans="1:17" x14ac:dyDescent="0.3">
      <c r="A132" t="s">
        <v>337</v>
      </c>
      <c r="B132" s="39" t="s">
        <v>371</v>
      </c>
      <c r="C132" t="s">
        <v>372</v>
      </c>
      <c r="D132" s="39" t="s">
        <v>393</v>
      </c>
      <c r="E132" t="s">
        <v>394</v>
      </c>
      <c r="F132" t="s">
        <v>87</v>
      </c>
      <c r="G132" t="s">
        <v>88</v>
      </c>
      <c r="H132" s="39">
        <v>2</v>
      </c>
      <c r="I132" s="39" t="s">
        <v>89</v>
      </c>
      <c r="J132" s="39" t="s">
        <v>90</v>
      </c>
      <c r="K132" s="39" t="s">
        <v>90</v>
      </c>
      <c r="L132" s="39" t="s">
        <v>90</v>
      </c>
      <c r="M132" s="39" t="s">
        <v>90</v>
      </c>
      <c r="N132" s="39" t="s">
        <v>90</v>
      </c>
      <c r="O132" s="39" t="s">
        <v>91</v>
      </c>
      <c r="P132" s="39" t="s">
        <v>93</v>
      </c>
      <c r="Q132" s="39">
        <v>0</v>
      </c>
    </row>
    <row r="133" spans="1:17" x14ac:dyDescent="0.3">
      <c r="A133" t="s">
        <v>337</v>
      </c>
      <c r="B133" s="39" t="s">
        <v>371</v>
      </c>
      <c r="C133" t="s">
        <v>372</v>
      </c>
      <c r="D133" s="39" t="s">
        <v>395</v>
      </c>
      <c r="E133" t="s">
        <v>396</v>
      </c>
      <c r="F133" t="s">
        <v>110</v>
      </c>
      <c r="G133" t="s">
        <v>88</v>
      </c>
      <c r="H133" s="39">
        <v>1</v>
      </c>
      <c r="I133" s="39" t="s">
        <v>89</v>
      </c>
      <c r="J133" s="39" t="s">
        <v>90</v>
      </c>
      <c r="K133" s="39" t="s">
        <v>90</v>
      </c>
      <c r="L133" s="39" t="s">
        <v>90</v>
      </c>
      <c r="M133" s="39" t="s">
        <v>90</v>
      </c>
      <c r="N133" s="39" t="s">
        <v>90</v>
      </c>
      <c r="O133" s="39" t="s">
        <v>90</v>
      </c>
      <c r="P133" s="39" t="s">
        <v>91</v>
      </c>
      <c r="Q133" s="39">
        <v>0</v>
      </c>
    </row>
    <row r="134" spans="1:17" x14ac:dyDescent="0.3">
      <c r="A134" t="s">
        <v>337</v>
      </c>
      <c r="B134" s="39" t="s">
        <v>371</v>
      </c>
      <c r="C134" t="s">
        <v>372</v>
      </c>
      <c r="D134" s="39" t="s">
        <v>397</v>
      </c>
      <c r="E134" t="s">
        <v>398</v>
      </c>
      <c r="F134" t="s">
        <v>110</v>
      </c>
      <c r="G134" t="s">
        <v>88</v>
      </c>
      <c r="H134" s="39">
        <v>1</v>
      </c>
      <c r="I134" s="39" t="s">
        <v>89</v>
      </c>
      <c r="J134" s="39" t="s">
        <v>90</v>
      </c>
      <c r="K134" s="39" t="s">
        <v>90</v>
      </c>
      <c r="L134" s="39" t="s">
        <v>90</v>
      </c>
      <c r="M134" s="39" t="s">
        <v>90</v>
      </c>
      <c r="N134" s="39" t="s">
        <v>90</v>
      </c>
      <c r="O134" s="39" t="s">
        <v>90</v>
      </c>
      <c r="P134" s="39" t="s">
        <v>91</v>
      </c>
      <c r="Q134" s="39">
        <v>0</v>
      </c>
    </row>
    <row r="135" spans="1:17" x14ac:dyDescent="0.3">
      <c r="A135" t="s">
        <v>337</v>
      </c>
      <c r="B135" s="39" t="s">
        <v>371</v>
      </c>
      <c r="C135" t="s">
        <v>372</v>
      </c>
      <c r="D135" s="39" t="s">
        <v>399</v>
      </c>
      <c r="E135" t="s">
        <v>400</v>
      </c>
      <c r="F135" t="s">
        <v>87</v>
      </c>
      <c r="G135" t="s">
        <v>88</v>
      </c>
      <c r="H135" s="39">
        <v>2</v>
      </c>
      <c r="I135" s="39" t="s">
        <v>89</v>
      </c>
      <c r="J135" s="39" t="s">
        <v>90</v>
      </c>
      <c r="K135" s="39" t="s">
        <v>91</v>
      </c>
      <c r="L135" s="39" t="s">
        <v>91</v>
      </c>
      <c r="M135" s="39" t="s">
        <v>93</v>
      </c>
      <c r="N135" s="39" t="s">
        <v>90</v>
      </c>
      <c r="O135" s="39" t="s">
        <v>91</v>
      </c>
      <c r="P135" s="39" t="s">
        <v>93</v>
      </c>
      <c r="Q135" s="39">
        <v>0</v>
      </c>
    </row>
    <row r="136" spans="1:17" x14ac:dyDescent="0.3">
      <c r="A136" t="s">
        <v>337</v>
      </c>
      <c r="B136" s="39" t="s">
        <v>371</v>
      </c>
      <c r="C136" t="s">
        <v>372</v>
      </c>
      <c r="D136" s="39" t="s">
        <v>401</v>
      </c>
      <c r="E136" t="s">
        <v>402</v>
      </c>
      <c r="F136" t="s">
        <v>110</v>
      </c>
      <c r="G136" t="s">
        <v>88</v>
      </c>
      <c r="H136" s="39">
        <v>1</v>
      </c>
      <c r="I136" s="39" t="s">
        <v>89</v>
      </c>
      <c r="J136" s="39" t="s">
        <v>90</v>
      </c>
      <c r="K136" s="39" t="s">
        <v>90</v>
      </c>
      <c r="L136" s="39" t="s">
        <v>90</v>
      </c>
      <c r="M136" s="39" t="s">
        <v>90</v>
      </c>
      <c r="N136" s="39" t="s">
        <v>90</v>
      </c>
      <c r="O136" s="39" t="s">
        <v>90</v>
      </c>
      <c r="P136" s="39" t="s">
        <v>91</v>
      </c>
      <c r="Q136" s="39">
        <v>0</v>
      </c>
    </row>
    <row r="137" spans="1:17" x14ac:dyDescent="0.3">
      <c r="A137" t="s">
        <v>337</v>
      </c>
      <c r="B137" s="39" t="s">
        <v>371</v>
      </c>
      <c r="C137" t="s">
        <v>372</v>
      </c>
      <c r="D137" s="39" t="s">
        <v>403</v>
      </c>
      <c r="E137" t="s">
        <v>404</v>
      </c>
      <c r="F137" t="s">
        <v>87</v>
      </c>
      <c r="G137" t="s">
        <v>88</v>
      </c>
      <c r="H137" s="39">
        <v>2</v>
      </c>
      <c r="I137" s="39" t="s">
        <v>89</v>
      </c>
      <c r="J137" s="39" t="s">
        <v>90</v>
      </c>
      <c r="K137" s="39" t="s">
        <v>90</v>
      </c>
      <c r="L137" s="39" t="s">
        <v>90</v>
      </c>
      <c r="M137" s="39" t="s">
        <v>90</v>
      </c>
      <c r="N137" s="39" t="s">
        <v>90</v>
      </c>
      <c r="O137" s="39" t="s">
        <v>91</v>
      </c>
      <c r="P137" s="39" t="s">
        <v>93</v>
      </c>
      <c r="Q137" s="39">
        <v>0</v>
      </c>
    </row>
    <row r="138" spans="1:17" x14ac:dyDescent="0.3">
      <c r="A138" t="s">
        <v>337</v>
      </c>
      <c r="B138" s="39" t="s">
        <v>371</v>
      </c>
      <c r="C138" t="s">
        <v>372</v>
      </c>
      <c r="D138" s="39" t="s">
        <v>405</v>
      </c>
      <c r="E138" t="s">
        <v>406</v>
      </c>
      <c r="F138" t="s">
        <v>87</v>
      </c>
      <c r="G138" t="s">
        <v>88</v>
      </c>
      <c r="H138" s="39">
        <v>2</v>
      </c>
      <c r="I138" s="39" t="s">
        <v>89</v>
      </c>
      <c r="J138" s="39" t="s">
        <v>90</v>
      </c>
      <c r="K138" s="39" t="s">
        <v>90</v>
      </c>
      <c r="L138" s="39" t="s">
        <v>90</v>
      </c>
      <c r="M138" s="39" t="s">
        <v>90</v>
      </c>
      <c r="N138" s="39" t="s">
        <v>90</v>
      </c>
      <c r="O138" s="39" t="s">
        <v>91</v>
      </c>
      <c r="P138" s="39" t="s">
        <v>93</v>
      </c>
      <c r="Q138" s="39">
        <v>0</v>
      </c>
    </row>
    <row r="139" spans="1:17" x14ac:dyDescent="0.3">
      <c r="A139" t="s">
        <v>337</v>
      </c>
      <c r="B139" s="39" t="s">
        <v>371</v>
      </c>
      <c r="C139" t="s">
        <v>372</v>
      </c>
      <c r="D139" s="39" t="s">
        <v>407</v>
      </c>
      <c r="E139" t="s">
        <v>408</v>
      </c>
      <c r="F139" t="s">
        <v>87</v>
      </c>
      <c r="G139" t="s">
        <v>88</v>
      </c>
      <c r="H139" s="39">
        <v>2</v>
      </c>
      <c r="I139" s="39" t="s">
        <v>89</v>
      </c>
      <c r="J139" s="39" t="s">
        <v>90</v>
      </c>
      <c r="K139" s="39" t="s">
        <v>90</v>
      </c>
      <c r="L139" s="39" t="s">
        <v>90</v>
      </c>
      <c r="M139" s="39" t="s">
        <v>90</v>
      </c>
      <c r="N139" s="39" t="s">
        <v>90</v>
      </c>
      <c r="O139" s="39" t="s">
        <v>91</v>
      </c>
      <c r="P139" s="39" t="s">
        <v>93</v>
      </c>
      <c r="Q139" s="39">
        <v>0</v>
      </c>
    </row>
    <row r="140" spans="1:17" x14ac:dyDescent="0.3">
      <c r="A140" t="s">
        <v>337</v>
      </c>
      <c r="B140" s="39" t="s">
        <v>371</v>
      </c>
      <c r="C140" t="s">
        <v>372</v>
      </c>
      <c r="D140" s="39" t="s">
        <v>409</v>
      </c>
      <c r="E140" t="s">
        <v>410</v>
      </c>
      <c r="F140" t="s">
        <v>96</v>
      </c>
      <c r="G140" t="s">
        <v>97</v>
      </c>
      <c r="H140" s="39">
        <v>7</v>
      </c>
      <c r="I140" s="39" t="s">
        <v>90</v>
      </c>
      <c r="J140" s="39" t="s">
        <v>91</v>
      </c>
      <c r="K140" s="39" t="s">
        <v>92</v>
      </c>
      <c r="L140" s="39" t="s">
        <v>91</v>
      </c>
      <c r="M140" s="39" t="s">
        <v>92</v>
      </c>
      <c r="N140" s="39" t="s">
        <v>92</v>
      </c>
      <c r="O140" s="39" t="s">
        <v>92</v>
      </c>
      <c r="P140" s="39" t="s">
        <v>92</v>
      </c>
      <c r="Q140" s="39">
        <v>5</v>
      </c>
    </row>
    <row r="141" spans="1:17" x14ac:dyDescent="0.3">
      <c r="A141" t="s">
        <v>238</v>
      </c>
      <c r="B141" s="39" t="s">
        <v>411</v>
      </c>
      <c r="C141" t="s">
        <v>412</v>
      </c>
      <c r="D141" s="39" t="s">
        <v>413</v>
      </c>
      <c r="E141" t="s">
        <v>414</v>
      </c>
      <c r="F141" t="s">
        <v>87</v>
      </c>
      <c r="G141" t="s">
        <v>88</v>
      </c>
      <c r="H141" s="39">
        <v>2</v>
      </c>
      <c r="I141" s="39" t="s">
        <v>89</v>
      </c>
      <c r="J141" s="39" t="s">
        <v>90</v>
      </c>
      <c r="K141" s="39" t="s">
        <v>90</v>
      </c>
      <c r="L141" s="39" t="s">
        <v>90</v>
      </c>
      <c r="M141" s="39" t="s">
        <v>90</v>
      </c>
      <c r="N141" s="39" t="s">
        <v>90</v>
      </c>
      <c r="O141" s="39" t="s">
        <v>91</v>
      </c>
      <c r="P141" s="39" t="s">
        <v>93</v>
      </c>
      <c r="Q141" s="39">
        <v>0</v>
      </c>
    </row>
    <row r="142" spans="1:17" x14ac:dyDescent="0.3">
      <c r="A142" t="s">
        <v>238</v>
      </c>
      <c r="B142" s="39" t="s">
        <v>411</v>
      </c>
      <c r="C142" t="s">
        <v>412</v>
      </c>
      <c r="D142" s="39" t="s">
        <v>415</v>
      </c>
      <c r="E142" t="s">
        <v>416</v>
      </c>
      <c r="F142" t="s">
        <v>87</v>
      </c>
      <c r="G142" t="s">
        <v>88</v>
      </c>
      <c r="H142" s="39">
        <v>2</v>
      </c>
      <c r="I142" s="39" t="s">
        <v>89</v>
      </c>
      <c r="J142" s="39" t="s">
        <v>90</v>
      </c>
      <c r="K142" s="39" t="s">
        <v>90</v>
      </c>
      <c r="L142" s="39" t="s">
        <v>90</v>
      </c>
      <c r="M142" s="39" t="s">
        <v>90</v>
      </c>
      <c r="N142" s="39" t="s">
        <v>90</v>
      </c>
      <c r="O142" s="39" t="s">
        <v>91</v>
      </c>
      <c r="P142" s="39" t="s">
        <v>93</v>
      </c>
      <c r="Q142" s="39">
        <v>0</v>
      </c>
    </row>
    <row r="144" spans="1:17" ht="13.5" customHeight="1" x14ac:dyDescent="0.3"/>
  </sheetData>
  <autoFilter ref="A1:Q1" xr:uid="{09D90D9E-5131-40D7-AAAA-863D11DA16BA}">
    <sortState xmlns:xlrd2="http://schemas.microsoft.com/office/spreadsheetml/2017/richdata2" ref="A2:Q142">
      <sortCondition ref="C1"/>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04B44-B362-4BCA-9C76-34F19D48A57D}">
  <dimension ref="A1:I198"/>
  <sheetViews>
    <sheetView workbookViewId="0">
      <selection activeCell="K22" sqref="K22"/>
    </sheetView>
  </sheetViews>
  <sheetFormatPr defaultRowHeight="14.4" x14ac:dyDescent="0.3"/>
  <cols>
    <col min="1" max="9" width="14.44140625" customWidth="1"/>
  </cols>
  <sheetData>
    <row r="1" spans="1:9" x14ac:dyDescent="0.3">
      <c r="A1" s="37" t="s">
        <v>66</v>
      </c>
      <c r="B1" s="37" t="s">
        <v>67</v>
      </c>
      <c r="C1" s="37" t="s">
        <v>21</v>
      </c>
      <c r="D1" s="37" t="s">
        <v>68</v>
      </c>
      <c r="E1" s="37" t="s">
        <v>69</v>
      </c>
      <c r="F1" s="38" t="s">
        <v>70</v>
      </c>
      <c r="G1" s="37" t="s">
        <v>71</v>
      </c>
      <c r="H1" s="38" t="s">
        <v>72</v>
      </c>
      <c r="I1" s="38" t="s">
        <v>73</v>
      </c>
    </row>
    <row r="2" spans="1:9" x14ac:dyDescent="0.3">
      <c r="A2" t="s">
        <v>82</v>
      </c>
      <c r="B2" t="s">
        <v>83</v>
      </c>
      <c r="C2" t="s">
        <v>84</v>
      </c>
      <c r="D2" t="s">
        <v>417</v>
      </c>
      <c r="E2" t="s">
        <v>418</v>
      </c>
      <c r="F2" s="39" t="s">
        <v>419</v>
      </c>
      <c r="G2" t="s">
        <v>420</v>
      </c>
      <c r="H2" s="39">
        <v>0</v>
      </c>
      <c r="I2" s="39" t="s">
        <v>89</v>
      </c>
    </row>
    <row r="3" spans="1:9" x14ac:dyDescent="0.3">
      <c r="A3" t="s">
        <v>82</v>
      </c>
      <c r="B3" t="s">
        <v>83</v>
      </c>
      <c r="C3" t="s">
        <v>84</v>
      </c>
      <c r="D3" t="s">
        <v>421</v>
      </c>
      <c r="E3" t="s">
        <v>422</v>
      </c>
      <c r="F3" s="39" t="s">
        <v>419</v>
      </c>
      <c r="G3" t="s">
        <v>420</v>
      </c>
      <c r="H3" s="39">
        <v>0</v>
      </c>
      <c r="I3" s="39" t="s">
        <v>89</v>
      </c>
    </row>
    <row r="4" spans="1:9" x14ac:dyDescent="0.3">
      <c r="A4" t="s">
        <v>82</v>
      </c>
      <c r="B4" t="s">
        <v>83</v>
      </c>
      <c r="C4" t="s">
        <v>84</v>
      </c>
      <c r="D4" t="s">
        <v>423</v>
      </c>
      <c r="E4" t="s">
        <v>424</v>
      </c>
      <c r="F4" s="39" t="s">
        <v>419</v>
      </c>
      <c r="G4" t="s">
        <v>425</v>
      </c>
      <c r="H4" s="39">
        <v>0</v>
      </c>
      <c r="I4" s="39" t="s">
        <v>89</v>
      </c>
    </row>
    <row r="5" spans="1:9" x14ac:dyDescent="0.3">
      <c r="A5" t="s">
        <v>82</v>
      </c>
      <c r="B5" t="s">
        <v>83</v>
      </c>
      <c r="C5" t="s">
        <v>84</v>
      </c>
      <c r="D5" t="s">
        <v>426</v>
      </c>
      <c r="E5" t="s">
        <v>427</v>
      </c>
      <c r="F5" s="39" t="s">
        <v>419</v>
      </c>
      <c r="G5" t="s">
        <v>428</v>
      </c>
      <c r="H5" s="39">
        <v>0</v>
      </c>
      <c r="I5" s="39" t="s">
        <v>89</v>
      </c>
    </row>
    <row r="6" spans="1:9" x14ac:dyDescent="0.3">
      <c r="A6" t="s">
        <v>82</v>
      </c>
      <c r="B6" t="s">
        <v>83</v>
      </c>
      <c r="C6" t="s">
        <v>84</v>
      </c>
      <c r="D6" t="s">
        <v>429</v>
      </c>
      <c r="E6" t="s">
        <v>430</v>
      </c>
      <c r="F6" s="39" t="s">
        <v>419</v>
      </c>
      <c r="G6" t="s">
        <v>431</v>
      </c>
      <c r="H6" s="39">
        <v>0</v>
      </c>
      <c r="I6" s="39" t="s">
        <v>89</v>
      </c>
    </row>
    <row r="7" spans="1:9" x14ac:dyDescent="0.3">
      <c r="A7" t="s">
        <v>82</v>
      </c>
      <c r="B7" t="s">
        <v>83</v>
      </c>
      <c r="C7" t="s">
        <v>84</v>
      </c>
      <c r="D7" t="s">
        <v>432</v>
      </c>
      <c r="E7" t="s">
        <v>433</v>
      </c>
      <c r="F7" s="39" t="s">
        <v>419</v>
      </c>
      <c r="G7" t="s">
        <v>434</v>
      </c>
      <c r="H7" s="39">
        <v>0</v>
      </c>
      <c r="I7" s="39" t="s">
        <v>89</v>
      </c>
    </row>
    <row r="8" spans="1:9" x14ac:dyDescent="0.3">
      <c r="A8" t="s">
        <v>82</v>
      </c>
      <c r="B8" t="s">
        <v>83</v>
      </c>
      <c r="C8" t="s">
        <v>84</v>
      </c>
      <c r="D8" t="s">
        <v>435</v>
      </c>
      <c r="E8" t="s">
        <v>436</v>
      </c>
      <c r="F8" s="39" t="s">
        <v>419</v>
      </c>
      <c r="G8" t="s">
        <v>437</v>
      </c>
      <c r="H8" s="39">
        <v>0</v>
      </c>
      <c r="I8" s="39" t="s">
        <v>89</v>
      </c>
    </row>
    <row r="9" spans="1:9" x14ac:dyDescent="0.3">
      <c r="A9" t="s">
        <v>82</v>
      </c>
      <c r="B9" t="s">
        <v>83</v>
      </c>
      <c r="C9" t="s">
        <v>84</v>
      </c>
      <c r="D9" t="s">
        <v>438</v>
      </c>
      <c r="E9" t="s">
        <v>439</v>
      </c>
      <c r="F9" s="39" t="s">
        <v>419</v>
      </c>
      <c r="G9" t="s">
        <v>437</v>
      </c>
      <c r="H9" s="39">
        <v>0</v>
      </c>
      <c r="I9" s="39" t="s">
        <v>89</v>
      </c>
    </row>
    <row r="10" spans="1:9" x14ac:dyDescent="0.3">
      <c r="A10" t="s">
        <v>82</v>
      </c>
      <c r="B10" t="s">
        <v>83</v>
      </c>
      <c r="C10" t="s">
        <v>84</v>
      </c>
      <c r="D10" t="s">
        <v>440</v>
      </c>
      <c r="E10" t="s">
        <v>441</v>
      </c>
      <c r="F10" s="39" t="s">
        <v>419</v>
      </c>
      <c r="G10" t="s">
        <v>428</v>
      </c>
      <c r="H10" s="39">
        <v>0</v>
      </c>
      <c r="I10" s="39" t="s">
        <v>89</v>
      </c>
    </row>
    <row r="11" spans="1:9" x14ac:dyDescent="0.3">
      <c r="A11" t="s">
        <v>82</v>
      </c>
      <c r="B11" t="s">
        <v>83</v>
      </c>
      <c r="C11" t="s">
        <v>84</v>
      </c>
      <c r="D11" t="s">
        <v>442</v>
      </c>
      <c r="E11" t="s">
        <v>443</v>
      </c>
      <c r="F11" s="39" t="s">
        <v>419</v>
      </c>
      <c r="G11" t="s">
        <v>444</v>
      </c>
      <c r="H11" s="39">
        <v>0</v>
      </c>
      <c r="I11" s="39" t="s">
        <v>89</v>
      </c>
    </row>
    <row r="12" spans="1:9" x14ac:dyDescent="0.3">
      <c r="A12" t="s">
        <v>82</v>
      </c>
      <c r="B12" t="s">
        <v>83</v>
      </c>
      <c r="C12" t="s">
        <v>84</v>
      </c>
      <c r="D12" t="s">
        <v>445</v>
      </c>
      <c r="E12" t="s">
        <v>446</v>
      </c>
      <c r="F12" s="39" t="s">
        <v>419</v>
      </c>
      <c r="G12" t="s">
        <v>428</v>
      </c>
      <c r="H12" s="39">
        <v>0</v>
      </c>
      <c r="I12" s="39" t="s">
        <v>89</v>
      </c>
    </row>
    <row r="13" spans="1:9" x14ac:dyDescent="0.3">
      <c r="A13" t="s">
        <v>82</v>
      </c>
      <c r="B13" t="s">
        <v>83</v>
      </c>
      <c r="C13" t="s">
        <v>84</v>
      </c>
      <c r="D13" t="s">
        <v>447</v>
      </c>
      <c r="E13" t="s">
        <v>448</v>
      </c>
      <c r="F13" s="39" t="s">
        <v>419</v>
      </c>
      <c r="G13" t="s">
        <v>449</v>
      </c>
      <c r="H13" s="39">
        <v>0</v>
      </c>
      <c r="I13" s="39" t="s">
        <v>89</v>
      </c>
    </row>
    <row r="14" spans="1:9" x14ac:dyDescent="0.3">
      <c r="A14" t="s">
        <v>82</v>
      </c>
      <c r="B14" t="s">
        <v>83</v>
      </c>
      <c r="C14" t="s">
        <v>84</v>
      </c>
      <c r="D14" t="s">
        <v>450</v>
      </c>
      <c r="E14" t="s">
        <v>451</v>
      </c>
      <c r="F14" s="39" t="s">
        <v>419</v>
      </c>
      <c r="G14" t="s">
        <v>452</v>
      </c>
      <c r="H14" s="39">
        <v>0</v>
      </c>
      <c r="I14" s="39" t="s">
        <v>89</v>
      </c>
    </row>
    <row r="15" spans="1:9" x14ac:dyDescent="0.3">
      <c r="A15" t="s">
        <v>115</v>
      </c>
      <c r="B15" t="s">
        <v>116</v>
      </c>
      <c r="C15" t="s">
        <v>117</v>
      </c>
      <c r="D15" t="s">
        <v>453</v>
      </c>
      <c r="E15" t="s">
        <v>454</v>
      </c>
      <c r="F15" s="39" t="s">
        <v>419</v>
      </c>
      <c r="G15" t="s">
        <v>420</v>
      </c>
      <c r="H15" s="39">
        <v>0</v>
      </c>
      <c r="I15" s="39" t="s">
        <v>89</v>
      </c>
    </row>
    <row r="16" spans="1:9" x14ac:dyDescent="0.3">
      <c r="A16" t="s">
        <v>115</v>
      </c>
      <c r="B16" t="s">
        <v>116</v>
      </c>
      <c r="C16" t="s">
        <v>117</v>
      </c>
      <c r="D16" t="s">
        <v>455</v>
      </c>
      <c r="E16" t="s">
        <v>456</v>
      </c>
      <c r="F16" s="39" t="s">
        <v>419</v>
      </c>
      <c r="G16" t="s">
        <v>457</v>
      </c>
      <c r="H16" s="39">
        <v>0</v>
      </c>
      <c r="I16" s="39" t="s">
        <v>90</v>
      </c>
    </row>
    <row r="17" spans="1:9" x14ac:dyDescent="0.3">
      <c r="A17" t="s">
        <v>115</v>
      </c>
      <c r="B17" t="s">
        <v>116</v>
      </c>
      <c r="C17" t="s">
        <v>117</v>
      </c>
      <c r="D17" t="s">
        <v>458</v>
      </c>
      <c r="E17" t="s">
        <v>459</v>
      </c>
      <c r="F17" s="39" t="s">
        <v>419</v>
      </c>
      <c r="G17" t="s">
        <v>460</v>
      </c>
      <c r="H17" s="39">
        <v>0</v>
      </c>
      <c r="I17" s="39" t="s">
        <v>90</v>
      </c>
    </row>
    <row r="18" spans="1:9" x14ac:dyDescent="0.3">
      <c r="A18" t="s">
        <v>115</v>
      </c>
      <c r="B18" t="s">
        <v>116</v>
      </c>
      <c r="C18" t="s">
        <v>117</v>
      </c>
      <c r="D18" t="s">
        <v>461</v>
      </c>
      <c r="E18" t="s">
        <v>462</v>
      </c>
      <c r="F18" s="39" t="s">
        <v>419</v>
      </c>
      <c r="G18" t="s">
        <v>463</v>
      </c>
      <c r="H18" s="39">
        <v>0</v>
      </c>
      <c r="I18" s="39" t="s">
        <v>89</v>
      </c>
    </row>
    <row r="19" spans="1:9" x14ac:dyDescent="0.3">
      <c r="A19" t="s">
        <v>115</v>
      </c>
      <c r="B19" t="s">
        <v>116</v>
      </c>
      <c r="C19" t="s">
        <v>117</v>
      </c>
      <c r="D19" t="s">
        <v>464</v>
      </c>
      <c r="E19" t="s">
        <v>465</v>
      </c>
      <c r="F19" s="39" t="s">
        <v>419</v>
      </c>
      <c r="G19" t="s">
        <v>434</v>
      </c>
      <c r="H19" s="39">
        <v>0</v>
      </c>
      <c r="I19" s="39" t="s">
        <v>89</v>
      </c>
    </row>
    <row r="20" spans="1:9" x14ac:dyDescent="0.3">
      <c r="A20" t="s">
        <v>115</v>
      </c>
      <c r="B20" t="s">
        <v>116</v>
      </c>
      <c r="C20" t="s">
        <v>117</v>
      </c>
      <c r="D20" t="s">
        <v>466</v>
      </c>
      <c r="E20" t="s">
        <v>467</v>
      </c>
      <c r="F20" s="39" t="s">
        <v>419</v>
      </c>
      <c r="G20" t="s">
        <v>434</v>
      </c>
      <c r="H20" s="39">
        <v>0</v>
      </c>
      <c r="I20" s="39" t="s">
        <v>89</v>
      </c>
    </row>
    <row r="21" spans="1:9" x14ac:dyDescent="0.3">
      <c r="A21" t="s">
        <v>115</v>
      </c>
      <c r="B21" t="s">
        <v>116</v>
      </c>
      <c r="C21" t="s">
        <v>117</v>
      </c>
      <c r="D21" t="s">
        <v>468</v>
      </c>
      <c r="E21" t="s">
        <v>469</v>
      </c>
      <c r="F21" s="39" t="s">
        <v>419</v>
      </c>
      <c r="G21" t="s">
        <v>470</v>
      </c>
      <c r="H21" s="39">
        <v>0</v>
      </c>
      <c r="I21" s="39" t="s">
        <v>89</v>
      </c>
    </row>
    <row r="22" spans="1:9" x14ac:dyDescent="0.3">
      <c r="A22" t="s">
        <v>115</v>
      </c>
      <c r="B22" t="s">
        <v>116</v>
      </c>
      <c r="C22" t="s">
        <v>117</v>
      </c>
      <c r="D22" t="s">
        <v>471</v>
      </c>
      <c r="E22" t="s">
        <v>472</v>
      </c>
      <c r="F22" s="39" t="s">
        <v>419</v>
      </c>
      <c r="G22" t="s">
        <v>444</v>
      </c>
      <c r="H22" s="39">
        <v>0</v>
      </c>
      <c r="I22" s="39" t="s">
        <v>89</v>
      </c>
    </row>
    <row r="23" spans="1:9" x14ac:dyDescent="0.3">
      <c r="A23" t="s">
        <v>115</v>
      </c>
      <c r="B23" t="s">
        <v>116</v>
      </c>
      <c r="C23" t="s">
        <v>117</v>
      </c>
      <c r="D23" t="s">
        <v>473</v>
      </c>
      <c r="E23" t="s">
        <v>474</v>
      </c>
      <c r="F23" s="39" t="s">
        <v>419</v>
      </c>
      <c r="G23" t="s">
        <v>475</v>
      </c>
      <c r="H23" s="39">
        <v>0</v>
      </c>
      <c r="I23" s="39" t="s">
        <v>89</v>
      </c>
    </row>
    <row r="24" spans="1:9" x14ac:dyDescent="0.3">
      <c r="A24" t="s">
        <v>115</v>
      </c>
      <c r="B24" t="s">
        <v>116</v>
      </c>
      <c r="C24" t="s">
        <v>117</v>
      </c>
      <c r="D24" t="s">
        <v>476</v>
      </c>
      <c r="E24" t="s">
        <v>477</v>
      </c>
      <c r="F24" s="39" t="s">
        <v>419</v>
      </c>
      <c r="G24" t="s">
        <v>437</v>
      </c>
      <c r="H24" s="39">
        <v>0</v>
      </c>
      <c r="I24" s="39" t="s">
        <v>89</v>
      </c>
    </row>
    <row r="25" spans="1:9" x14ac:dyDescent="0.3">
      <c r="A25" t="s">
        <v>115</v>
      </c>
      <c r="B25" t="s">
        <v>116</v>
      </c>
      <c r="C25" t="s">
        <v>117</v>
      </c>
      <c r="D25" t="s">
        <v>478</v>
      </c>
      <c r="E25" t="s">
        <v>479</v>
      </c>
      <c r="F25" s="39" t="s">
        <v>419</v>
      </c>
      <c r="G25" t="s">
        <v>428</v>
      </c>
      <c r="H25" s="39">
        <v>0</v>
      </c>
      <c r="I25" s="39" t="s">
        <v>89</v>
      </c>
    </row>
    <row r="26" spans="1:9" x14ac:dyDescent="0.3">
      <c r="A26" t="s">
        <v>115</v>
      </c>
      <c r="B26" t="s">
        <v>116</v>
      </c>
      <c r="C26" t="s">
        <v>117</v>
      </c>
      <c r="D26" t="s">
        <v>480</v>
      </c>
      <c r="E26" t="s">
        <v>481</v>
      </c>
      <c r="F26" s="39" t="s">
        <v>419</v>
      </c>
      <c r="G26" t="s">
        <v>482</v>
      </c>
      <c r="H26" s="39">
        <v>0</v>
      </c>
      <c r="I26" s="39" t="s">
        <v>89</v>
      </c>
    </row>
    <row r="27" spans="1:9" x14ac:dyDescent="0.3">
      <c r="A27" t="s">
        <v>115</v>
      </c>
      <c r="B27" t="s">
        <v>116</v>
      </c>
      <c r="C27" t="s">
        <v>117</v>
      </c>
      <c r="D27" t="s">
        <v>483</v>
      </c>
      <c r="E27" t="s">
        <v>484</v>
      </c>
      <c r="F27" s="39" t="s">
        <v>419</v>
      </c>
      <c r="G27" t="s">
        <v>437</v>
      </c>
      <c r="H27" s="39">
        <v>0</v>
      </c>
      <c r="I27" s="39" t="s">
        <v>89</v>
      </c>
    </row>
    <row r="28" spans="1:9" x14ac:dyDescent="0.3">
      <c r="A28" t="s">
        <v>115</v>
      </c>
      <c r="B28" t="s">
        <v>116</v>
      </c>
      <c r="C28" t="s">
        <v>117</v>
      </c>
      <c r="D28" t="s">
        <v>485</v>
      </c>
      <c r="E28" t="s">
        <v>486</v>
      </c>
      <c r="F28" s="39" t="s">
        <v>419</v>
      </c>
      <c r="G28" t="s">
        <v>452</v>
      </c>
      <c r="H28" s="39">
        <v>0</v>
      </c>
      <c r="I28" s="39" t="s">
        <v>89</v>
      </c>
    </row>
    <row r="29" spans="1:9" x14ac:dyDescent="0.3">
      <c r="A29" t="s">
        <v>115</v>
      </c>
      <c r="B29" t="s">
        <v>116</v>
      </c>
      <c r="C29" t="s">
        <v>117</v>
      </c>
      <c r="D29" t="s">
        <v>487</v>
      </c>
      <c r="E29" t="s">
        <v>488</v>
      </c>
      <c r="F29" s="39" t="s">
        <v>419</v>
      </c>
      <c r="G29" t="s">
        <v>489</v>
      </c>
      <c r="H29" s="39">
        <v>0</v>
      </c>
      <c r="I29" s="39" t="s">
        <v>89</v>
      </c>
    </row>
    <row r="30" spans="1:9" x14ac:dyDescent="0.3">
      <c r="A30" t="s">
        <v>115</v>
      </c>
      <c r="B30" t="s">
        <v>116</v>
      </c>
      <c r="C30" t="s">
        <v>117</v>
      </c>
      <c r="D30" t="s">
        <v>490</v>
      </c>
      <c r="E30" t="s">
        <v>491</v>
      </c>
      <c r="F30" s="39" t="s">
        <v>419</v>
      </c>
      <c r="G30" t="s">
        <v>492</v>
      </c>
      <c r="H30" s="39">
        <v>0</v>
      </c>
      <c r="I30" s="39" t="s">
        <v>89</v>
      </c>
    </row>
    <row r="31" spans="1:9" x14ac:dyDescent="0.3">
      <c r="A31" t="s">
        <v>115</v>
      </c>
      <c r="B31" t="s">
        <v>116</v>
      </c>
      <c r="C31" t="s">
        <v>117</v>
      </c>
      <c r="D31" t="s">
        <v>493</v>
      </c>
      <c r="E31" t="s">
        <v>494</v>
      </c>
      <c r="F31" s="39" t="s">
        <v>419</v>
      </c>
      <c r="G31" t="s">
        <v>428</v>
      </c>
      <c r="H31" s="39">
        <v>0</v>
      </c>
      <c r="I31" s="39" t="s">
        <v>89</v>
      </c>
    </row>
    <row r="32" spans="1:9" x14ac:dyDescent="0.3">
      <c r="A32" t="s">
        <v>134</v>
      </c>
      <c r="B32" t="s">
        <v>135</v>
      </c>
      <c r="C32" t="s">
        <v>136</v>
      </c>
      <c r="D32" t="s">
        <v>495</v>
      </c>
      <c r="E32" t="s">
        <v>496</v>
      </c>
      <c r="F32" s="39" t="s">
        <v>419</v>
      </c>
      <c r="G32" t="s">
        <v>444</v>
      </c>
      <c r="H32" s="39">
        <v>0</v>
      </c>
      <c r="I32" s="39" t="s">
        <v>89</v>
      </c>
    </row>
    <row r="33" spans="1:9" x14ac:dyDescent="0.3">
      <c r="A33" t="s">
        <v>134</v>
      </c>
      <c r="B33" t="s">
        <v>135</v>
      </c>
      <c r="C33" t="s">
        <v>136</v>
      </c>
      <c r="D33" t="s">
        <v>497</v>
      </c>
      <c r="E33" t="s">
        <v>498</v>
      </c>
      <c r="F33" s="39" t="s">
        <v>419</v>
      </c>
      <c r="G33" t="s">
        <v>499</v>
      </c>
      <c r="H33" s="39">
        <v>0</v>
      </c>
      <c r="I33" s="39" t="s">
        <v>89</v>
      </c>
    </row>
    <row r="34" spans="1:9" x14ac:dyDescent="0.3">
      <c r="A34" t="s">
        <v>134</v>
      </c>
      <c r="B34" t="s">
        <v>135</v>
      </c>
      <c r="C34" t="s">
        <v>136</v>
      </c>
      <c r="D34" t="s">
        <v>500</v>
      </c>
      <c r="E34" t="s">
        <v>501</v>
      </c>
      <c r="F34" s="39" t="s">
        <v>419</v>
      </c>
      <c r="G34" t="s">
        <v>502</v>
      </c>
      <c r="H34" s="39">
        <v>0</v>
      </c>
      <c r="I34" s="39" t="s">
        <v>89</v>
      </c>
    </row>
    <row r="35" spans="1:9" x14ac:dyDescent="0.3">
      <c r="A35" t="s">
        <v>134</v>
      </c>
      <c r="B35" t="s">
        <v>135</v>
      </c>
      <c r="C35" t="s">
        <v>136</v>
      </c>
      <c r="D35" t="s">
        <v>503</v>
      </c>
      <c r="E35" t="s">
        <v>504</v>
      </c>
      <c r="F35" s="39" t="s">
        <v>419</v>
      </c>
      <c r="G35" t="s">
        <v>505</v>
      </c>
      <c r="H35" s="39">
        <v>0</v>
      </c>
      <c r="I35" s="39" t="s">
        <v>89</v>
      </c>
    </row>
    <row r="36" spans="1:9" x14ac:dyDescent="0.3">
      <c r="A36" t="s">
        <v>134</v>
      </c>
      <c r="B36" t="s">
        <v>135</v>
      </c>
      <c r="C36" t="s">
        <v>136</v>
      </c>
      <c r="D36" t="s">
        <v>506</v>
      </c>
      <c r="E36" t="s">
        <v>507</v>
      </c>
      <c r="F36" s="39" t="s">
        <v>419</v>
      </c>
      <c r="G36" t="s">
        <v>505</v>
      </c>
      <c r="H36" s="39">
        <v>0</v>
      </c>
      <c r="I36" s="39" t="s">
        <v>89</v>
      </c>
    </row>
    <row r="37" spans="1:9" x14ac:dyDescent="0.3">
      <c r="A37" t="s">
        <v>134</v>
      </c>
      <c r="B37" t="s">
        <v>135</v>
      </c>
      <c r="C37" t="s">
        <v>136</v>
      </c>
      <c r="D37" t="s">
        <v>508</v>
      </c>
      <c r="E37" t="s">
        <v>509</v>
      </c>
      <c r="F37" s="39" t="s">
        <v>419</v>
      </c>
      <c r="G37" t="s">
        <v>510</v>
      </c>
      <c r="H37" s="39">
        <v>0</v>
      </c>
      <c r="I37" s="39" t="s">
        <v>89</v>
      </c>
    </row>
    <row r="38" spans="1:9" x14ac:dyDescent="0.3">
      <c r="A38" t="s">
        <v>134</v>
      </c>
      <c r="B38" t="s">
        <v>135</v>
      </c>
      <c r="C38" t="s">
        <v>136</v>
      </c>
      <c r="D38" t="s">
        <v>511</v>
      </c>
      <c r="E38" t="s">
        <v>512</v>
      </c>
      <c r="F38" s="39" t="s">
        <v>419</v>
      </c>
      <c r="G38" t="s">
        <v>513</v>
      </c>
      <c r="H38" s="39">
        <v>0</v>
      </c>
      <c r="I38" s="39" t="s">
        <v>89</v>
      </c>
    </row>
    <row r="39" spans="1:9" x14ac:dyDescent="0.3">
      <c r="A39" t="s">
        <v>134</v>
      </c>
      <c r="B39" t="s">
        <v>135</v>
      </c>
      <c r="C39" t="s">
        <v>136</v>
      </c>
      <c r="D39" t="s">
        <v>514</v>
      </c>
      <c r="E39" t="s">
        <v>515</v>
      </c>
      <c r="F39" s="39" t="s">
        <v>419</v>
      </c>
      <c r="G39" t="s">
        <v>505</v>
      </c>
      <c r="H39" s="39">
        <v>0</v>
      </c>
      <c r="I39" s="39" t="s">
        <v>90</v>
      </c>
    </row>
    <row r="40" spans="1:9" x14ac:dyDescent="0.3">
      <c r="A40" t="s">
        <v>134</v>
      </c>
      <c r="B40" t="s">
        <v>135</v>
      </c>
      <c r="C40" t="s">
        <v>136</v>
      </c>
      <c r="D40" t="s">
        <v>516</v>
      </c>
      <c r="E40" t="s">
        <v>517</v>
      </c>
      <c r="F40" s="39" t="s">
        <v>419</v>
      </c>
      <c r="G40" t="s">
        <v>434</v>
      </c>
      <c r="H40" s="39">
        <v>0</v>
      </c>
      <c r="I40" s="39" t="s">
        <v>89</v>
      </c>
    </row>
    <row r="41" spans="1:9" x14ac:dyDescent="0.3">
      <c r="A41" t="s">
        <v>134</v>
      </c>
      <c r="B41" t="s">
        <v>135</v>
      </c>
      <c r="C41" t="s">
        <v>136</v>
      </c>
      <c r="D41" t="s">
        <v>518</v>
      </c>
      <c r="E41" t="s">
        <v>519</v>
      </c>
      <c r="F41" s="39" t="s">
        <v>419</v>
      </c>
      <c r="G41" t="s">
        <v>431</v>
      </c>
      <c r="H41" s="39">
        <v>0</v>
      </c>
      <c r="I41" s="39" t="s">
        <v>89</v>
      </c>
    </row>
    <row r="42" spans="1:9" x14ac:dyDescent="0.3">
      <c r="A42" t="s">
        <v>134</v>
      </c>
      <c r="B42" t="s">
        <v>135</v>
      </c>
      <c r="C42" t="s">
        <v>136</v>
      </c>
      <c r="D42" t="s">
        <v>520</v>
      </c>
      <c r="E42" t="s">
        <v>521</v>
      </c>
      <c r="F42" s="39" t="s">
        <v>419</v>
      </c>
      <c r="G42" t="s">
        <v>428</v>
      </c>
      <c r="H42" s="39">
        <v>0</v>
      </c>
      <c r="I42" s="39" t="s">
        <v>89</v>
      </c>
    </row>
    <row r="43" spans="1:9" x14ac:dyDescent="0.3">
      <c r="A43" t="s">
        <v>134</v>
      </c>
      <c r="B43" t="s">
        <v>135</v>
      </c>
      <c r="C43" t="s">
        <v>136</v>
      </c>
      <c r="D43" t="s">
        <v>522</v>
      </c>
      <c r="E43" t="s">
        <v>523</v>
      </c>
      <c r="F43" s="39" t="s">
        <v>419</v>
      </c>
      <c r="G43" t="s">
        <v>428</v>
      </c>
      <c r="H43" s="39">
        <v>0</v>
      </c>
      <c r="I43" s="39" t="s">
        <v>89</v>
      </c>
    </row>
    <row r="44" spans="1:9" x14ac:dyDescent="0.3">
      <c r="A44" t="s">
        <v>134</v>
      </c>
      <c r="B44" t="s">
        <v>135</v>
      </c>
      <c r="C44" t="s">
        <v>136</v>
      </c>
      <c r="D44" t="s">
        <v>524</v>
      </c>
      <c r="E44" t="s">
        <v>525</v>
      </c>
      <c r="F44" s="39" t="s">
        <v>419</v>
      </c>
      <c r="G44" t="s">
        <v>510</v>
      </c>
      <c r="H44" s="39">
        <v>0</v>
      </c>
      <c r="I44" s="39" t="s">
        <v>89</v>
      </c>
    </row>
    <row r="45" spans="1:9" x14ac:dyDescent="0.3">
      <c r="A45" t="s">
        <v>134</v>
      </c>
      <c r="B45" t="s">
        <v>135</v>
      </c>
      <c r="C45" t="s">
        <v>136</v>
      </c>
      <c r="D45" t="s">
        <v>526</v>
      </c>
      <c r="E45" t="s">
        <v>527</v>
      </c>
      <c r="F45" s="39" t="s">
        <v>419</v>
      </c>
      <c r="G45" t="s">
        <v>444</v>
      </c>
      <c r="H45" s="39">
        <v>0</v>
      </c>
      <c r="I45" s="39" t="s">
        <v>89</v>
      </c>
    </row>
    <row r="46" spans="1:9" x14ac:dyDescent="0.3">
      <c r="A46" t="s">
        <v>308</v>
      </c>
      <c r="B46" t="s">
        <v>528</v>
      </c>
      <c r="C46" t="s">
        <v>529</v>
      </c>
      <c r="D46" t="s">
        <v>530</v>
      </c>
      <c r="E46" t="s">
        <v>531</v>
      </c>
      <c r="F46" s="39" t="s">
        <v>419</v>
      </c>
      <c r="G46" t="s">
        <v>428</v>
      </c>
      <c r="H46" s="39">
        <v>0</v>
      </c>
      <c r="I46" s="39" t="s">
        <v>89</v>
      </c>
    </row>
    <row r="47" spans="1:9" x14ac:dyDescent="0.3">
      <c r="A47" t="s">
        <v>308</v>
      </c>
      <c r="B47" t="s">
        <v>528</v>
      </c>
      <c r="C47" t="s">
        <v>529</v>
      </c>
      <c r="D47" t="s">
        <v>532</v>
      </c>
      <c r="E47" t="s">
        <v>533</v>
      </c>
      <c r="F47" s="39" t="s">
        <v>419</v>
      </c>
      <c r="G47" t="s">
        <v>534</v>
      </c>
      <c r="H47" s="39">
        <v>0</v>
      </c>
      <c r="I47" s="39" t="s">
        <v>89</v>
      </c>
    </row>
    <row r="48" spans="1:9" x14ac:dyDescent="0.3">
      <c r="A48" t="s">
        <v>308</v>
      </c>
      <c r="B48" t="s">
        <v>528</v>
      </c>
      <c r="C48" t="s">
        <v>529</v>
      </c>
      <c r="D48" t="s">
        <v>535</v>
      </c>
      <c r="E48" t="s">
        <v>536</v>
      </c>
      <c r="F48" s="39" t="s">
        <v>419</v>
      </c>
      <c r="G48" t="s">
        <v>437</v>
      </c>
      <c r="H48" s="39">
        <v>0</v>
      </c>
      <c r="I48" s="39" t="s">
        <v>89</v>
      </c>
    </row>
    <row r="49" spans="1:9" x14ac:dyDescent="0.3">
      <c r="A49" t="s">
        <v>188</v>
      </c>
      <c r="B49" t="s">
        <v>189</v>
      </c>
      <c r="C49" t="s">
        <v>190</v>
      </c>
      <c r="D49" t="s">
        <v>537</v>
      </c>
      <c r="E49" t="s">
        <v>173</v>
      </c>
      <c r="F49" s="39" t="s">
        <v>419</v>
      </c>
      <c r="G49" t="s">
        <v>499</v>
      </c>
      <c r="H49" s="39">
        <v>0</v>
      </c>
      <c r="I49" s="39" t="s">
        <v>89</v>
      </c>
    </row>
    <row r="50" spans="1:9" x14ac:dyDescent="0.3">
      <c r="A50" t="s">
        <v>188</v>
      </c>
      <c r="B50" t="s">
        <v>189</v>
      </c>
      <c r="C50" t="s">
        <v>190</v>
      </c>
      <c r="D50" t="s">
        <v>538</v>
      </c>
      <c r="E50" t="s">
        <v>539</v>
      </c>
      <c r="F50" s="39" t="s">
        <v>419</v>
      </c>
      <c r="G50" t="s">
        <v>540</v>
      </c>
      <c r="H50" s="39">
        <v>0</v>
      </c>
      <c r="I50" s="39" t="s">
        <v>89</v>
      </c>
    </row>
    <row r="51" spans="1:9" x14ac:dyDescent="0.3">
      <c r="A51" t="s">
        <v>188</v>
      </c>
      <c r="B51" t="s">
        <v>189</v>
      </c>
      <c r="C51" t="s">
        <v>190</v>
      </c>
      <c r="D51" t="s">
        <v>541</v>
      </c>
      <c r="E51" t="s">
        <v>542</v>
      </c>
      <c r="F51" s="39" t="s">
        <v>419</v>
      </c>
      <c r="G51" t="s">
        <v>437</v>
      </c>
      <c r="H51" s="39">
        <v>0</v>
      </c>
      <c r="I51" s="39" t="s">
        <v>89</v>
      </c>
    </row>
    <row r="52" spans="1:9" x14ac:dyDescent="0.3">
      <c r="A52" t="s">
        <v>82</v>
      </c>
      <c r="B52" t="s">
        <v>543</v>
      </c>
      <c r="C52" t="s">
        <v>544</v>
      </c>
      <c r="D52" t="s">
        <v>545</v>
      </c>
      <c r="E52" t="s">
        <v>546</v>
      </c>
      <c r="F52" s="39" t="s">
        <v>419</v>
      </c>
      <c r="G52" t="s">
        <v>428</v>
      </c>
      <c r="H52" s="39">
        <v>0</v>
      </c>
      <c r="I52" s="39" t="s">
        <v>89</v>
      </c>
    </row>
    <row r="53" spans="1:9" x14ac:dyDescent="0.3">
      <c r="A53" t="s">
        <v>82</v>
      </c>
      <c r="B53" t="s">
        <v>543</v>
      </c>
      <c r="C53" t="s">
        <v>544</v>
      </c>
      <c r="D53" t="s">
        <v>547</v>
      </c>
      <c r="E53" t="s">
        <v>548</v>
      </c>
      <c r="F53" s="39" t="s">
        <v>419</v>
      </c>
      <c r="G53" t="s">
        <v>534</v>
      </c>
      <c r="H53" s="39">
        <v>0</v>
      </c>
      <c r="I53" s="39" t="s">
        <v>89</v>
      </c>
    </row>
    <row r="54" spans="1:9" x14ac:dyDescent="0.3">
      <c r="A54" t="s">
        <v>82</v>
      </c>
      <c r="B54" t="s">
        <v>543</v>
      </c>
      <c r="C54" t="s">
        <v>544</v>
      </c>
      <c r="D54" t="s">
        <v>549</v>
      </c>
      <c r="E54" t="s">
        <v>550</v>
      </c>
      <c r="F54" s="39" t="s">
        <v>419</v>
      </c>
      <c r="G54" t="s">
        <v>551</v>
      </c>
      <c r="H54" s="39">
        <v>0</v>
      </c>
      <c r="I54" s="39" t="s">
        <v>89</v>
      </c>
    </row>
    <row r="55" spans="1:9" x14ac:dyDescent="0.3">
      <c r="A55" t="s">
        <v>82</v>
      </c>
      <c r="B55" t="s">
        <v>543</v>
      </c>
      <c r="C55" t="s">
        <v>544</v>
      </c>
      <c r="D55" t="s">
        <v>552</v>
      </c>
      <c r="E55" t="s">
        <v>553</v>
      </c>
      <c r="F55" s="39" t="s">
        <v>419</v>
      </c>
      <c r="G55" t="s">
        <v>434</v>
      </c>
      <c r="H55" s="39">
        <v>0</v>
      </c>
      <c r="I55" s="39" t="s">
        <v>89</v>
      </c>
    </row>
    <row r="56" spans="1:9" x14ac:dyDescent="0.3">
      <c r="A56" t="s">
        <v>82</v>
      </c>
      <c r="B56" t="s">
        <v>543</v>
      </c>
      <c r="C56" t="s">
        <v>544</v>
      </c>
      <c r="D56" t="s">
        <v>554</v>
      </c>
      <c r="E56" t="s">
        <v>555</v>
      </c>
      <c r="F56" s="39" t="s">
        <v>419</v>
      </c>
      <c r="G56" t="s">
        <v>556</v>
      </c>
      <c r="H56" s="39">
        <v>0</v>
      </c>
      <c r="I56" s="39" t="s">
        <v>89</v>
      </c>
    </row>
    <row r="57" spans="1:9" x14ac:dyDescent="0.3">
      <c r="A57" t="s">
        <v>82</v>
      </c>
      <c r="B57" t="s">
        <v>543</v>
      </c>
      <c r="C57" t="s">
        <v>544</v>
      </c>
      <c r="D57" t="s">
        <v>557</v>
      </c>
      <c r="E57" t="s">
        <v>558</v>
      </c>
      <c r="F57" s="39" t="s">
        <v>419</v>
      </c>
      <c r="G57" t="s">
        <v>437</v>
      </c>
      <c r="H57" s="39">
        <v>0</v>
      </c>
      <c r="I57" s="39" t="s">
        <v>89</v>
      </c>
    </row>
    <row r="58" spans="1:9" x14ac:dyDescent="0.3">
      <c r="A58" t="s">
        <v>82</v>
      </c>
      <c r="B58" t="s">
        <v>543</v>
      </c>
      <c r="C58" t="s">
        <v>544</v>
      </c>
      <c r="D58" t="s">
        <v>559</v>
      </c>
      <c r="E58" t="s">
        <v>560</v>
      </c>
      <c r="F58" s="39" t="s">
        <v>419</v>
      </c>
      <c r="G58" t="s">
        <v>505</v>
      </c>
      <c r="H58" s="39">
        <v>0</v>
      </c>
      <c r="I58" s="39" t="s">
        <v>89</v>
      </c>
    </row>
    <row r="59" spans="1:9" x14ac:dyDescent="0.3">
      <c r="A59" t="s">
        <v>82</v>
      </c>
      <c r="B59" t="s">
        <v>543</v>
      </c>
      <c r="C59" t="s">
        <v>544</v>
      </c>
      <c r="D59" t="s">
        <v>561</v>
      </c>
      <c r="E59" t="s">
        <v>562</v>
      </c>
      <c r="F59" s="39" t="s">
        <v>419</v>
      </c>
      <c r="G59" t="s">
        <v>428</v>
      </c>
      <c r="H59" s="39">
        <v>0</v>
      </c>
      <c r="I59" s="39" t="s">
        <v>89</v>
      </c>
    </row>
    <row r="60" spans="1:9" x14ac:dyDescent="0.3">
      <c r="A60" t="s">
        <v>82</v>
      </c>
      <c r="B60" t="s">
        <v>543</v>
      </c>
      <c r="C60" t="s">
        <v>544</v>
      </c>
      <c r="D60" t="s">
        <v>563</v>
      </c>
      <c r="E60" t="s">
        <v>564</v>
      </c>
      <c r="F60" s="39" t="s">
        <v>419</v>
      </c>
      <c r="G60" t="s">
        <v>565</v>
      </c>
      <c r="H60" s="39">
        <v>0</v>
      </c>
      <c r="I60" s="39" t="s">
        <v>89</v>
      </c>
    </row>
    <row r="61" spans="1:9" x14ac:dyDescent="0.3">
      <c r="A61" t="s">
        <v>193</v>
      </c>
      <c r="B61" t="s">
        <v>194</v>
      </c>
      <c r="C61" t="s">
        <v>195</v>
      </c>
      <c r="D61" t="s">
        <v>566</v>
      </c>
      <c r="E61" t="s">
        <v>567</v>
      </c>
      <c r="F61" s="39" t="s">
        <v>419</v>
      </c>
      <c r="G61" t="s">
        <v>568</v>
      </c>
      <c r="H61" s="39">
        <v>0</v>
      </c>
      <c r="I61" s="39" t="s">
        <v>89</v>
      </c>
    </row>
    <row r="62" spans="1:9" x14ac:dyDescent="0.3">
      <c r="A62" t="s">
        <v>193</v>
      </c>
      <c r="B62" t="s">
        <v>194</v>
      </c>
      <c r="C62" t="s">
        <v>195</v>
      </c>
      <c r="D62" t="s">
        <v>569</v>
      </c>
      <c r="E62" t="s">
        <v>570</v>
      </c>
      <c r="F62" s="39" t="s">
        <v>419</v>
      </c>
      <c r="G62" t="s">
        <v>571</v>
      </c>
      <c r="H62" s="39">
        <v>0</v>
      </c>
      <c r="I62" s="39" t="s">
        <v>89</v>
      </c>
    </row>
    <row r="63" spans="1:9" x14ac:dyDescent="0.3">
      <c r="A63" t="s">
        <v>193</v>
      </c>
      <c r="B63" t="s">
        <v>194</v>
      </c>
      <c r="C63" t="s">
        <v>195</v>
      </c>
      <c r="D63" t="s">
        <v>572</v>
      </c>
      <c r="E63" t="s">
        <v>573</v>
      </c>
      <c r="F63" s="39" t="s">
        <v>419</v>
      </c>
      <c r="G63" t="s">
        <v>510</v>
      </c>
      <c r="H63" s="39">
        <v>0</v>
      </c>
      <c r="I63" s="39" t="s">
        <v>89</v>
      </c>
    </row>
    <row r="64" spans="1:9" x14ac:dyDescent="0.3">
      <c r="A64" t="s">
        <v>193</v>
      </c>
      <c r="B64" t="s">
        <v>194</v>
      </c>
      <c r="C64" t="s">
        <v>195</v>
      </c>
      <c r="D64" t="s">
        <v>574</v>
      </c>
      <c r="E64" t="s">
        <v>575</v>
      </c>
      <c r="F64" s="39" t="s">
        <v>419</v>
      </c>
      <c r="G64" t="s">
        <v>437</v>
      </c>
      <c r="H64" s="39">
        <v>0</v>
      </c>
      <c r="I64" s="39" t="s">
        <v>89</v>
      </c>
    </row>
    <row r="65" spans="1:9" x14ac:dyDescent="0.3">
      <c r="A65" t="s">
        <v>193</v>
      </c>
      <c r="B65" t="s">
        <v>194</v>
      </c>
      <c r="C65" t="s">
        <v>195</v>
      </c>
      <c r="D65" t="s">
        <v>576</v>
      </c>
      <c r="E65" t="s">
        <v>577</v>
      </c>
      <c r="F65" s="39" t="s">
        <v>419</v>
      </c>
      <c r="G65" t="s">
        <v>437</v>
      </c>
      <c r="H65" s="39">
        <v>0</v>
      </c>
      <c r="I65" s="39" t="s">
        <v>89</v>
      </c>
    </row>
    <row r="66" spans="1:9" x14ac:dyDescent="0.3">
      <c r="A66" t="s">
        <v>193</v>
      </c>
      <c r="B66" t="s">
        <v>194</v>
      </c>
      <c r="C66" t="s">
        <v>195</v>
      </c>
      <c r="D66" t="s">
        <v>578</v>
      </c>
      <c r="E66" t="s">
        <v>579</v>
      </c>
      <c r="F66" s="39" t="s">
        <v>419</v>
      </c>
      <c r="G66" t="s">
        <v>437</v>
      </c>
      <c r="H66" s="39">
        <v>0</v>
      </c>
      <c r="I66" s="39" t="s">
        <v>89</v>
      </c>
    </row>
    <row r="67" spans="1:9" x14ac:dyDescent="0.3">
      <c r="A67" t="s">
        <v>193</v>
      </c>
      <c r="B67" t="s">
        <v>194</v>
      </c>
      <c r="C67" t="s">
        <v>195</v>
      </c>
      <c r="D67" t="s">
        <v>580</v>
      </c>
      <c r="E67" t="s">
        <v>581</v>
      </c>
      <c r="F67" s="39" t="s">
        <v>419</v>
      </c>
      <c r="G67" t="s">
        <v>568</v>
      </c>
      <c r="H67" s="39">
        <v>0</v>
      </c>
      <c r="I67" s="39" t="s">
        <v>89</v>
      </c>
    </row>
    <row r="68" spans="1:9" x14ac:dyDescent="0.3">
      <c r="A68" t="s">
        <v>193</v>
      </c>
      <c r="B68" t="s">
        <v>194</v>
      </c>
      <c r="C68" t="s">
        <v>195</v>
      </c>
      <c r="D68" t="s">
        <v>582</v>
      </c>
      <c r="E68" t="s">
        <v>583</v>
      </c>
      <c r="F68" s="39" t="s">
        <v>419</v>
      </c>
      <c r="G68" t="s">
        <v>428</v>
      </c>
      <c r="H68" s="39">
        <v>0</v>
      </c>
      <c r="I68" s="39" t="s">
        <v>89</v>
      </c>
    </row>
    <row r="69" spans="1:9" x14ac:dyDescent="0.3">
      <c r="A69" t="s">
        <v>193</v>
      </c>
      <c r="B69" t="s">
        <v>194</v>
      </c>
      <c r="C69" t="s">
        <v>195</v>
      </c>
      <c r="D69" t="s">
        <v>584</v>
      </c>
      <c r="E69" t="s">
        <v>585</v>
      </c>
      <c r="F69" s="39" t="s">
        <v>419</v>
      </c>
      <c r="G69" t="s">
        <v>428</v>
      </c>
      <c r="H69" s="39">
        <v>0</v>
      </c>
      <c r="I69" s="39" t="s">
        <v>89</v>
      </c>
    </row>
    <row r="70" spans="1:9" x14ac:dyDescent="0.3">
      <c r="A70" t="s">
        <v>193</v>
      </c>
      <c r="B70" t="s">
        <v>194</v>
      </c>
      <c r="C70" t="s">
        <v>195</v>
      </c>
      <c r="D70" t="s">
        <v>586</v>
      </c>
      <c r="E70" t="s">
        <v>587</v>
      </c>
      <c r="F70" s="39" t="s">
        <v>419</v>
      </c>
      <c r="G70" t="s">
        <v>437</v>
      </c>
      <c r="H70" s="39">
        <v>0</v>
      </c>
      <c r="I70" s="39" t="s">
        <v>89</v>
      </c>
    </row>
    <row r="71" spans="1:9" x14ac:dyDescent="0.3">
      <c r="A71" t="s">
        <v>193</v>
      </c>
      <c r="B71" t="s">
        <v>194</v>
      </c>
      <c r="C71" t="s">
        <v>195</v>
      </c>
      <c r="D71" t="s">
        <v>588</v>
      </c>
      <c r="E71" t="s">
        <v>589</v>
      </c>
      <c r="F71" s="39" t="s">
        <v>419</v>
      </c>
      <c r="G71" t="s">
        <v>551</v>
      </c>
      <c r="H71" s="39">
        <v>0</v>
      </c>
      <c r="I71" s="39" t="s">
        <v>89</v>
      </c>
    </row>
    <row r="72" spans="1:9" x14ac:dyDescent="0.3">
      <c r="A72" t="s">
        <v>193</v>
      </c>
      <c r="B72" t="s">
        <v>194</v>
      </c>
      <c r="C72" t="s">
        <v>195</v>
      </c>
      <c r="D72" t="s">
        <v>590</v>
      </c>
      <c r="E72" t="s">
        <v>591</v>
      </c>
      <c r="F72" s="39" t="s">
        <v>419</v>
      </c>
      <c r="G72" t="s">
        <v>437</v>
      </c>
      <c r="H72" s="39">
        <v>0</v>
      </c>
      <c r="I72" s="39" t="s">
        <v>89</v>
      </c>
    </row>
    <row r="73" spans="1:9" x14ac:dyDescent="0.3">
      <c r="A73" t="s">
        <v>115</v>
      </c>
      <c r="B73" t="s">
        <v>234</v>
      </c>
      <c r="C73" t="s">
        <v>235</v>
      </c>
      <c r="D73" t="s">
        <v>592</v>
      </c>
      <c r="E73" t="s">
        <v>593</v>
      </c>
      <c r="F73" s="39" t="s">
        <v>419</v>
      </c>
      <c r="G73" t="s">
        <v>437</v>
      </c>
      <c r="H73" s="39">
        <v>0</v>
      </c>
      <c r="I73" s="39" t="s">
        <v>89</v>
      </c>
    </row>
    <row r="74" spans="1:9" x14ac:dyDescent="0.3">
      <c r="A74" t="s">
        <v>115</v>
      </c>
      <c r="B74" t="s">
        <v>234</v>
      </c>
      <c r="C74" t="s">
        <v>235</v>
      </c>
      <c r="D74" t="s">
        <v>594</v>
      </c>
      <c r="E74" t="s">
        <v>595</v>
      </c>
      <c r="F74" s="39" t="s">
        <v>419</v>
      </c>
      <c r="G74" t="s">
        <v>596</v>
      </c>
      <c r="H74" s="39">
        <v>0</v>
      </c>
      <c r="I74" s="39" t="s">
        <v>89</v>
      </c>
    </row>
    <row r="75" spans="1:9" x14ac:dyDescent="0.3">
      <c r="A75" t="s">
        <v>115</v>
      </c>
      <c r="B75" t="s">
        <v>234</v>
      </c>
      <c r="C75" t="s">
        <v>235</v>
      </c>
      <c r="D75" t="s">
        <v>597</v>
      </c>
      <c r="E75" t="s">
        <v>598</v>
      </c>
      <c r="F75" s="39" t="s">
        <v>419</v>
      </c>
      <c r="G75" t="s">
        <v>510</v>
      </c>
      <c r="H75" s="39">
        <v>0</v>
      </c>
      <c r="I75" s="39" t="s">
        <v>89</v>
      </c>
    </row>
    <row r="76" spans="1:9" x14ac:dyDescent="0.3">
      <c r="A76" t="s">
        <v>115</v>
      </c>
      <c r="B76" t="s">
        <v>234</v>
      </c>
      <c r="C76" t="s">
        <v>235</v>
      </c>
      <c r="D76" t="s">
        <v>599</v>
      </c>
      <c r="E76" t="s">
        <v>600</v>
      </c>
      <c r="F76" s="39" t="s">
        <v>419</v>
      </c>
      <c r="G76" t="s">
        <v>513</v>
      </c>
      <c r="H76" s="39">
        <v>0</v>
      </c>
      <c r="I76" s="39" t="s">
        <v>90</v>
      </c>
    </row>
    <row r="77" spans="1:9" x14ac:dyDescent="0.3">
      <c r="A77" t="s">
        <v>115</v>
      </c>
      <c r="B77" t="s">
        <v>234</v>
      </c>
      <c r="C77" t="s">
        <v>235</v>
      </c>
      <c r="D77" t="s">
        <v>601</v>
      </c>
      <c r="E77" t="s">
        <v>446</v>
      </c>
      <c r="F77" s="39" t="s">
        <v>419</v>
      </c>
      <c r="G77" t="s">
        <v>499</v>
      </c>
      <c r="H77" s="39">
        <v>0</v>
      </c>
      <c r="I77" s="39" t="s">
        <v>89</v>
      </c>
    </row>
    <row r="78" spans="1:9" x14ac:dyDescent="0.3">
      <c r="A78" t="s">
        <v>238</v>
      </c>
      <c r="B78" t="s">
        <v>239</v>
      </c>
      <c r="C78" t="s">
        <v>240</v>
      </c>
      <c r="D78" t="s">
        <v>602</v>
      </c>
      <c r="E78" t="s">
        <v>603</v>
      </c>
      <c r="F78" s="39" t="s">
        <v>419</v>
      </c>
      <c r="G78" t="s">
        <v>428</v>
      </c>
      <c r="H78" s="39">
        <v>0</v>
      </c>
      <c r="I78" s="39" t="s">
        <v>89</v>
      </c>
    </row>
    <row r="79" spans="1:9" x14ac:dyDescent="0.3">
      <c r="A79" t="s">
        <v>238</v>
      </c>
      <c r="B79" t="s">
        <v>239</v>
      </c>
      <c r="C79" t="s">
        <v>240</v>
      </c>
      <c r="D79" t="s">
        <v>604</v>
      </c>
      <c r="E79" t="s">
        <v>605</v>
      </c>
      <c r="F79" s="39" t="s">
        <v>419</v>
      </c>
      <c r="G79" t="s">
        <v>606</v>
      </c>
      <c r="H79" s="39">
        <v>0</v>
      </c>
      <c r="I79" s="39" t="s">
        <v>89</v>
      </c>
    </row>
    <row r="80" spans="1:9" x14ac:dyDescent="0.3">
      <c r="A80" t="s">
        <v>238</v>
      </c>
      <c r="B80" t="s">
        <v>239</v>
      </c>
      <c r="C80" t="s">
        <v>240</v>
      </c>
      <c r="D80" t="s">
        <v>607</v>
      </c>
      <c r="E80" t="s">
        <v>608</v>
      </c>
      <c r="F80" s="39" t="s">
        <v>419</v>
      </c>
      <c r="G80" t="s">
        <v>609</v>
      </c>
      <c r="H80" s="39">
        <v>0</v>
      </c>
      <c r="I80" s="39" t="s">
        <v>89</v>
      </c>
    </row>
    <row r="81" spans="1:9" x14ac:dyDescent="0.3">
      <c r="A81" t="s">
        <v>238</v>
      </c>
      <c r="B81" t="s">
        <v>239</v>
      </c>
      <c r="C81" t="s">
        <v>240</v>
      </c>
      <c r="D81" t="s">
        <v>610</v>
      </c>
      <c r="E81" t="s">
        <v>611</v>
      </c>
      <c r="F81" s="39" t="s">
        <v>419</v>
      </c>
      <c r="G81" t="s">
        <v>612</v>
      </c>
      <c r="H81" s="39">
        <v>0</v>
      </c>
      <c r="I81" s="39" t="s">
        <v>89</v>
      </c>
    </row>
    <row r="82" spans="1:9" x14ac:dyDescent="0.3">
      <c r="A82" t="s">
        <v>238</v>
      </c>
      <c r="B82" t="s">
        <v>239</v>
      </c>
      <c r="C82" t="s">
        <v>240</v>
      </c>
      <c r="D82" t="s">
        <v>613</v>
      </c>
      <c r="E82" t="s">
        <v>614</v>
      </c>
      <c r="F82" s="39" t="s">
        <v>419</v>
      </c>
      <c r="G82" t="s">
        <v>437</v>
      </c>
      <c r="H82" s="39">
        <v>0</v>
      </c>
      <c r="I82" s="39" t="s">
        <v>89</v>
      </c>
    </row>
    <row r="83" spans="1:9" x14ac:dyDescent="0.3">
      <c r="A83" t="s">
        <v>238</v>
      </c>
      <c r="B83" t="s">
        <v>239</v>
      </c>
      <c r="C83" t="s">
        <v>240</v>
      </c>
      <c r="D83" t="s">
        <v>615</v>
      </c>
      <c r="E83" t="s">
        <v>616</v>
      </c>
      <c r="F83" s="39" t="s">
        <v>419</v>
      </c>
      <c r="G83" t="s">
        <v>437</v>
      </c>
      <c r="H83" s="39">
        <v>0</v>
      </c>
      <c r="I83" s="39" t="s">
        <v>89</v>
      </c>
    </row>
    <row r="84" spans="1:9" x14ac:dyDescent="0.3">
      <c r="A84" t="s">
        <v>82</v>
      </c>
      <c r="B84" t="s">
        <v>256</v>
      </c>
      <c r="C84" t="s">
        <v>257</v>
      </c>
      <c r="D84" t="s">
        <v>617</v>
      </c>
      <c r="E84" t="s">
        <v>618</v>
      </c>
      <c r="F84" s="39" t="s">
        <v>419</v>
      </c>
      <c r="G84" t="s">
        <v>619</v>
      </c>
      <c r="H84" s="39">
        <v>0</v>
      </c>
      <c r="I84" s="39" t="s">
        <v>90</v>
      </c>
    </row>
    <row r="85" spans="1:9" x14ac:dyDescent="0.3">
      <c r="A85" t="s">
        <v>82</v>
      </c>
      <c r="B85" t="s">
        <v>256</v>
      </c>
      <c r="C85" t="s">
        <v>257</v>
      </c>
      <c r="D85" t="s">
        <v>620</v>
      </c>
      <c r="E85" t="s">
        <v>621</v>
      </c>
      <c r="F85" s="39" t="s">
        <v>419</v>
      </c>
      <c r="G85" t="s">
        <v>437</v>
      </c>
      <c r="H85" s="39">
        <v>0</v>
      </c>
      <c r="I85" s="39" t="s">
        <v>89</v>
      </c>
    </row>
    <row r="86" spans="1:9" x14ac:dyDescent="0.3">
      <c r="A86" t="s">
        <v>82</v>
      </c>
      <c r="B86" t="s">
        <v>256</v>
      </c>
      <c r="C86" t="s">
        <v>257</v>
      </c>
      <c r="D86" t="s">
        <v>622</v>
      </c>
      <c r="E86" t="s">
        <v>623</v>
      </c>
      <c r="F86" s="39" t="s">
        <v>419</v>
      </c>
      <c r="G86" t="s">
        <v>513</v>
      </c>
      <c r="H86" s="39">
        <v>0</v>
      </c>
      <c r="I86" s="39" t="s">
        <v>90</v>
      </c>
    </row>
    <row r="87" spans="1:9" x14ac:dyDescent="0.3">
      <c r="A87" t="s">
        <v>115</v>
      </c>
      <c r="B87" t="s">
        <v>262</v>
      </c>
      <c r="C87" t="s">
        <v>263</v>
      </c>
      <c r="D87" t="s">
        <v>624</v>
      </c>
      <c r="E87" t="s">
        <v>625</v>
      </c>
      <c r="F87" s="39" t="s">
        <v>419</v>
      </c>
      <c r="G87" t="s">
        <v>626</v>
      </c>
      <c r="H87" s="39">
        <v>0</v>
      </c>
      <c r="I87" s="39" t="s">
        <v>89</v>
      </c>
    </row>
    <row r="88" spans="1:9" x14ac:dyDescent="0.3">
      <c r="A88" t="s">
        <v>115</v>
      </c>
      <c r="B88" t="s">
        <v>262</v>
      </c>
      <c r="C88" t="s">
        <v>263</v>
      </c>
      <c r="D88" t="s">
        <v>627</v>
      </c>
      <c r="E88" t="s">
        <v>628</v>
      </c>
      <c r="F88" s="39" t="s">
        <v>419</v>
      </c>
      <c r="G88" t="s">
        <v>629</v>
      </c>
      <c r="H88" s="39">
        <v>0</v>
      </c>
      <c r="I88" s="39" t="s">
        <v>89</v>
      </c>
    </row>
    <row r="89" spans="1:9" x14ac:dyDescent="0.3">
      <c r="A89" t="s">
        <v>115</v>
      </c>
      <c r="B89" t="s">
        <v>262</v>
      </c>
      <c r="C89" t="s">
        <v>263</v>
      </c>
      <c r="D89" t="s">
        <v>630</v>
      </c>
      <c r="E89" t="s">
        <v>631</v>
      </c>
      <c r="F89" s="39" t="s">
        <v>419</v>
      </c>
      <c r="G89" t="s">
        <v>428</v>
      </c>
      <c r="H89" s="39">
        <v>0</v>
      </c>
      <c r="I89" s="39" t="s">
        <v>89</v>
      </c>
    </row>
    <row r="90" spans="1:9" x14ac:dyDescent="0.3">
      <c r="A90" t="s">
        <v>115</v>
      </c>
      <c r="B90" t="s">
        <v>262</v>
      </c>
      <c r="C90" t="s">
        <v>263</v>
      </c>
      <c r="D90" t="s">
        <v>632</v>
      </c>
      <c r="E90" t="s">
        <v>633</v>
      </c>
      <c r="F90" s="39" t="s">
        <v>419</v>
      </c>
      <c r="G90" t="s">
        <v>449</v>
      </c>
      <c r="H90" s="39">
        <v>0</v>
      </c>
      <c r="I90" s="39" t="s">
        <v>89</v>
      </c>
    </row>
    <row r="91" spans="1:9" x14ac:dyDescent="0.3">
      <c r="A91" t="s">
        <v>115</v>
      </c>
      <c r="B91" t="s">
        <v>262</v>
      </c>
      <c r="C91" t="s">
        <v>263</v>
      </c>
      <c r="D91" t="s">
        <v>634</v>
      </c>
      <c r="E91" t="s">
        <v>635</v>
      </c>
      <c r="F91" s="39" t="s">
        <v>419</v>
      </c>
      <c r="G91" t="s">
        <v>499</v>
      </c>
      <c r="H91" s="39">
        <v>0</v>
      </c>
      <c r="I91" s="39" t="s">
        <v>89</v>
      </c>
    </row>
    <row r="92" spans="1:9" x14ac:dyDescent="0.3">
      <c r="A92" t="s">
        <v>115</v>
      </c>
      <c r="B92" t="s">
        <v>262</v>
      </c>
      <c r="C92" t="s">
        <v>263</v>
      </c>
      <c r="D92" t="s">
        <v>636</v>
      </c>
      <c r="E92" t="s">
        <v>637</v>
      </c>
      <c r="F92" s="39" t="s">
        <v>419</v>
      </c>
      <c r="G92" t="s">
        <v>437</v>
      </c>
      <c r="H92" s="39">
        <v>0</v>
      </c>
      <c r="I92" s="39" t="s">
        <v>89</v>
      </c>
    </row>
    <row r="93" spans="1:9" x14ac:dyDescent="0.3">
      <c r="A93" t="s">
        <v>115</v>
      </c>
      <c r="B93" t="s">
        <v>262</v>
      </c>
      <c r="C93" t="s">
        <v>263</v>
      </c>
      <c r="D93" t="s">
        <v>638</v>
      </c>
      <c r="E93" t="s">
        <v>639</v>
      </c>
      <c r="F93" s="39" t="s">
        <v>419</v>
      </c>
      <c r="G93" t="s">
        <v>640</v>
      </c>
      <c r="H93" s="39">
        <v>0</v>
      </c>
      <c r="I93" s="39" t="s">
        <v>89</v>
      </c>
    </row>
    <row r="94" spans="1:9" x14ac:dyDescent="0.3">
      <c r="A94" t="s">
        <v>115</v>
      </c>
      <c r="B94" t="s">
        <v>262</v>
      </c>
      <c r="C94" t="s">
        <v>263</v>
      </c>
      <c r="D94" t="s">
        <v>641</v>
      </c>
      <c r="E94" t="s">
        <v>642</v>
      </c>
      <c r="F94" s="39" t="s">
        <v>419</v>
      </c>
      <c r="G94" t="s">
        <v>643</v>
      </c>
      <c r="H94" s="39">
        <v>0</v>
      </c>
      <c r="I94" s="39" t="s">
        <v>89</v>
      </c>
    </row>
    <row r="95" spans="1:9" x14ac:dyDescent="0.3">
      <c r="A95" t="s">
        <v>115</v>
      </c>
      <c r="B95" t="s">
        <v>262</v>
      </c>
      <c r="C95" t="s">
        <v>263</v>
      </c>
      <c r="D95" t="s">
        <v>644</v>
      </c>
      <c r="E95" t="s">
        <v>645</v>
      </c>
      <c r="F95" s="39" t="s">
        <v>419</v>
      </c>
      <c r="G95" t="s">
        <v>551</v>
      </c>
      <c r="H95" s="39">
        <v>0</v>
      </c>
      <c r="I95" s="39" t="s">
        <v>89</v>
      </c>
    </row>
    <row r="96" spans="1:9" x14ac:dyDescent="0.3">
      <c r="A96" t="s">
        <v>115</v>
      </c>
      <c r="B96" t="s">
        <v>262</v>
      </c>
      <c r="C96" t="s">
        <v>263</v>
      </c>
      <c r="D96" t="s">
        <v>646</v>
      </c>
      <c r="E96" t="s">
        <v>647</v>
      </c>
      <c r="F96" s="39" t="s">
        <v>419</v>
      </c>
      <c r="G96" t="s">
        <v>551</v>
      </c>
      <c r="H96" s="39">
        <v>0</v>
      </c>
      <c r="I96" s="39" t="s">
        <v>89</v>
      </c>
    </row>
    <row r="97" spans="1:9" x14ac:dyDescent="0.3">
      <c r="A97" t="s">
        <v>115</v>
      </c>
      <c r="B97" t="s">
        <v>262</v>
      </c>
      <c r="C97" t="s">
        <v>263</v>
      </c>
      <c r="D97" t="s">
        <v>648</v>
      </c>
      <c r="E97" t="s">
        <v>649</v>
      </c>
      <c r="F97" s="39" t="s">
        <v>419</v>
      </c>
      <c r="G97" t="s">
        <v>434</v>
      </c>
      <c r="H97" s="39">
        <v>0</v>
      </c>
      <c r="I97" s="39" t="s">
        <v>89</v>
      </c>
    </row>
    <row r="98" spans="1:9" x14ac:dyDescent="0.3">
      <c r="A98" t="s">
        <v>115</v>
      </c>
      <c r="B98" t="s">
        <v>262</v>
      </c>
      <c r="C98" t="s">
        <v>263</v>
      </c>
      <c r="D98" t="s">
        <v>650</v>
      </c>
      <c r="E98" t="s">
        <v>651</v>
      </c>
      <c r="F98" s="39" t="s">
        <v>419</v>
      </c>
      <c r="G98" t="s">
        <v>420</v>
      </c>
      <c r="H98" s="39">
        <v>0</v>
      </c>
      <c r="I98" s="39" t="s">
        <v>89</v>
      </c>
    </row>
    <row r="99" spans="1:9" x14ac:dyDescent="0.3">
      <c r="A99" t="s">
        <v>115</v>
      </c>
      <c r="B99" t="s">
        <v>262</v>
      </c>
      <c r="C99" t="s">
        <v>263</v>
      </c>
      <c r="D99" t="s">
        <v>652</v>
      </c>
      <c r="E99" t="s">
        <v>653</v>
      </c>
      <c r="F99" s="39" t="s">
        <v>419</v>
      </c>
      <c r="G99" t="s">
        <v>654</v>
      </c>
      <c r="H99" s="39">
        <v>0</v>
      </c>
      <c r="I99" s="39" t="s">
        <v>89</v>
      </c>
    </row>
    <row r="100" spans="1:9" x14ac:dyDescent="0.3">
      <c r="A100" t="s">
        <v>115</v>
      </c>
      <c r="B100" t="s">
        <v>262</v>
      </c>
      <c r="C100" t="s">
        <v>263</v>
      </c>
      <c r="D100" t="s">
        <v>655</v>
      </c>
      <c r="E100" t="s">
        <v>656</v>
      </c>
      <c r="F100" s="39" t="s">
        <v>419</v>
      </c>
      <c r="G100" t="s">
        <v>428</v>
      </c>
      <c r="H100" s="39">
        <v>0</v>
      </c>
      <c r="I100" s="39" t="s">
        <v>89</v>
      </c>
    </row>
    <row r="101" spans="1:9" x14ac:dyDescent="0.3">
      <c r="A101" t="s">
        <v>115</v>
      </c>
      <c r="B101" t="s">
        <v>262</v>
      </c>
      <c r="C101" t="s">
        <v>263</v>
      </c>
      <c r="D101" t="s">
        <v>657</v>
      </c>
      <c r="E101" t="s">
        <v>658</v>
      </c>
      <c r="F101" s="39" t="s">
        <v>419</v>
      </c>
      <c r="G101" t="s">
        <v>640</v>
      </c>
      <c r="H101" s="39">
        <v>0</v>
      </c>
      <c r="I101" s="39" t="s">
        <v>89</v>
      </c>
    </row>
    <row r="102" spans="1:9" x14ac:dyDescent="0.3">
      <c r="A102" t="s">
        <v>115</v>
      </c>
      <c r="B102" t="s">
        <v>262</v>
      </c>
      <c r="C102" t="s">
        <v>263</v>
      </c>
      <c r="D102" t="s">
        <v>659</v>
      </c>
      <c r="E102" t="s">
        <v>660</v>
      </c>
      <c r="F102" s="39" t="s">
        <v>419</v>
      </c>
      <c r="G102" t="s">
        <v>428</v>
      </c>
      <c r="H102" s="39">
        <v>0</v>
      </c>
      <c r="I102" s="39" t="s">
        <v>89</v>
      </c>
    </row>
    <row r="103" spans="1:9" x14ac:dyDescent="0.3">
      <c r="A103" t="s">
        <v>115</v>
      </c>
      <c r="B103" t="s">
        <v>262</v>
      </c>
      <c r="C103" t="s">
        <v>263</v>
      </c>
      <c r="D103" t="s">
        <v>661</v>
      </c>
      <c r="E103" t="s">
        <v>662</v>
      </c>
      <c r="F103" s="39" t="s">
        <v>419</v>
      </c>
      <c r="G103" t="s">
        <v>534</v>
      </c>
      <c r="H103" s="39">
        <v>0</v>
      </c>
      <c r="I103" s="39" t="s">
        <v>89</v>
      </c>
    </row>
    <row r="104" spans="1:9" x14ac:dyDescent="0.3">
      <c r="A104" t="s">
        <v>115</v>
      </c>
      <c r="B104" t="s">
        <v>262</v>
      </c>
      <c r="C104" t="s">
        <v>263</v>
      </c>
      <c r="D104" t="s">
        <v>663</v>
      </c>
      <c r="E104" t="s">
        <v>664</v>
      </c>
      <c r="F104" s="39" t="s">
        <v>419</v>
      </c>
      <c r="G104" t="s">
        <v>449</v>
      </c>
      <c r="H104" s="39">
        <v>0</v>
      </c>
      <c r="I104" s="39" t="s">
        <v>89</v>
      </c>
    </row>
    <row r="105" spans="1:9" x14ac:dyDescent="0.3">
      <c r="A105" t="s">
        <v>115</v>
      </c>
      <c r="B105" t="s">
        <v>262</v>
      </c>
      <c r="C105" t="s">
        <v>263</v>
      </c>
      <c r="D105" t="s">
        <v>665</v>
      </c>
      <c r="E105" t="s">
        <v>666</v>
      </c>
      <c r="F105" s="39" t="s">
        <v>419</v>
      </c>
      <c r="G105" t="s">
        <v>452</v>
      </c>
      <c r="H105" s="39">
        <v>0</v>
      </c>
      <c r="I105" s="39" t="s">
        <v>89</v>
      </c>
    </row>
    <row r="106" spans="1:9" x14ac:dyDescent="0.3">
      <c r="A106" t="s">
        <v>115</v>
      </c>
      <c r="B106" t="s">
        <v>262</v>
      </c>
      <c r="C106" t="s">
        <v>263</v>
      </c>
      <c r="D106" t="s">
        <v>667</v>
      </c>
      <c r="E106" t="s">
        <v>668</v>
      </c>
      <c r="F106" s="39" t="s">
        <v>419</v>
      </c>
      <c r="G106" t="s">
        <v>437</v>
      </c>
      <c r="H106" s="39">
        <v>0</v>
      </c>
      <c r="I106" s="39" t="s">
        <v>89</v>
      </c>
    </row>
    <row r="107" spans="1:9" x14ac:dyDescent="0.3">
      <c r="A107" t="s">
        <v>115</v>
      </c>
      <c r="B107" t="s">
        <v>262</v>
      </c>
      <c r="C107" t="s">
        <v>263</v>
      </c>
      <c r="D107" t="s">
        <v>669</v>
      </c>
      <c r="E107" t="s">
        <v>670</v>
      </c>
      <c r="F107" s="39" t="s">
        <v>419</v>
      </c>
      <c r="G107" t="s">
        <v>434</v>
      </c>
      <c r="H107" s="39">
        <v>0</v>
      </c>
      <c r="I107" s="39" t="s">
        <v>89</v>
      </c>
    </row>
    <row r="108" spans="1:9" x14ac:dyDescent="0.3">
      <c r="A108" t="s">
        <v>115</v>
      </c>
      <c r="B108" t="s">
        <v>262</v>
      </c>
      <c r="C108" t="s">
        <v>263</v>
      </c>
      <c r="D108" t="s">
        <v>671</v>
      </c>
      <c r="E108" t="s">
        <v>672</v>
      </c>
      <c r="F108" s="39" t="s">
        <v>419</v>
      </c>
      <c r="G108" t="s">
        <v>437</v>
      </c>
      <c r="H108" s="39">
        <v>0</v>
      </c>
      <c r="I108" s="39" t="s">
        <v>89</v>
      </c>
    </row>
    <row r="109" spans="1:9" x14ac:dyDescent="0.3">
      <c r="A109" t="s">
        <v>115</v>
      </c>
      <c r="B109" t="s">
        <v>262</v>
      </c>
      <c r="C109" t="s">
        <v>263</v>
      </c>
      <c r="D109" t="s">
        <v>673</v>
      </c>
      <c r="E109" t="s">
        <v>674</v>
      </c>
      <c r="F109" s="39" t="s">
        <v>419</v>
      </c>
      <c r="G109" t="s">
        <v>675</v>
      </c>
      <c r="H109" s="39">
        <v>0</v>
      </c>
      <c r="I109" s="39" t="s">
        <v>89</v>
      </c>
    </row>
    <row r="110" spans="1:9" x14ac:dyDescent="0.3">
      <c r="A110" t="s">
        <v>115</v>
      </c>
      <c r="B110" t="s">
        <v>262</v>
      </c>
      <c r="C110" t="s">
        <v>263</v>
      </c>
      <c r="D110" t="s">
        <v>676</v>
      </c>
      <c r="E110" t="s">
        <v>677</v>
      </c>
      <c r="F110" s="39" t="s">
        <v>419</v>
      </c>
      <c r="G110" t="s">
        <v>678</v>
      </c>
      <c r="H110" s="39">
        <v>0</v>
      </c>
      <c r="I110" s="39" t="s">
        <v>89</v>
      </c>
    </row>
    <row r="111" spans="1:9" x14ac:dyDescent="0.3">
      <c r="A111" t="s">
        <v>115</v>
      </c>
      <c r="B111" t="s">
        <v>262</v>
      </c>
      <c r="C111" t="s">
        <v>263</v>
      </c>
      <c r="D111" t="s">
        <v>679</v>
      </c>
      <c r="E111" t="s">
        <v>680</v>
      </c>
      <c r="F111" s="39" t="s">
        <v>419</v>
      </c>
      <c r="G111" t="s">
        <v>681</v>
      </c>
      <c r="H111" s="39">
        <v>0</v>
      </c>
      <c r="I111" s="39" t="s">
        <v>89</v>
      </c>
    </row>
    <row r="112" spans="1:9" x14ac:dyDescent="0.3">
      <c r="A112" t="s">
        <v>115</v>
      </c>
      <c r="B112" t="s">
        <v>262</v>
      </c>
      <c r="C112" t="s">
        <v>263</v>
      </c>
      <c r="D112" t="s">
        <v>682</v>
      </c>
      <c r="E112" t="s">
        <v>683</v>
      </c>
      <c r="F112" s="39" t="s">
        <v>419</v>
      </c>
      <c r="G112" t="s">
        <v>684</v>
      </c>
      <c r="H112" s="39">
        <v>0</v>
      </c>
      <c r="I112" s="39" t="s">
        <v>89</v>
      </c>
    </row>
    <row r="113" spans="1:9" x14ac:dyDescent="0.3">
      <c r="A113" t="s">
        <v>115</v>
      </c>
      <c r="B113" t="s">
        <v>262</v>
      </c>
      <c r="C113" t="s">
        <v>263</v>
      </c>
      <c r="D113" t="s">
        <v>685</v>
      </c>
      <c r="E113" t="s">
        <v>686</v>
      </c>
      <c r="F113" s="39" t="s">
        <v>419</v>
      </c>
      <c r="G113" t="s">
        <v>434</v>
      </c>
      <c r="H113" s="39">
        <v>0</v>
      </c>
      <c r="I113" s="39" t="s">
        <v>89</v>
      </c>
    </row>
    <row r="114" spans="1:9" x14ac:dyDescent="0.3">
      <c r="A114" t="s">
        <v>115</v>
      </c>
      <c r="B114" t="s">
        <v>262</v>
      </c>
      <c r="C114" t="s">
        <v>263</v>
      </c>
      <c r="D114" t="s">
        <v>687</v>
      </c>
      <c r="E114" t="s">
        <v>688</v>
      </c>
      <c r="F114" s="39" t="s">
        <v>419</v>
      </c>
      <c r="G114" t="s">
        <v>449</v>
      </c>
      <c r="H114" s="39">
        <v>0</v>
      </c>
      <c r="I114" s="39" t="s">
        <v>89</v>
      </c>
    </row>
    <row r="115" spans="1:9" x14ac:dyDescent="0.3">
      <c r="A115" t="s">
        <v>115</v>
      </c>
      <c r="B115" t="s">
        <v>262</v>
      </c>
      <c r="C115" t="s">
        <v>263</v>
      </c>
      <c r="D115" t="s">
        <v>689</v>
      </c>
      <c r="E115" t="s">
        <v>690</v>
      </c>
      <c r="F115" s="39" t="s">
        <v>419</v>
      </c>
      <c r="G115" t="s">
        <v>505</v>
      </c>
      <c r="H115" s="39">
        <v>0</v>
      </c>
      <c r="I115" s="39" t="s">
        <v>89</v>
      </c>
    </row>
    <row r="116" spans="1:9" x14ac:dyDescent="0.3">
      <c r="A116" t="s">
        <v>193</v>
      </c>
      <c r="B116" t="s">
        <v>290</v>
      </c>
      <c r="C116" t="s">
        <v>291</v>
      </c>
      <c r="D116" t="s">
        <v>691</v>
      </c>
      <c r="E116" t="s">
        <v>692</v>
      </c>
      <c r="F116" s="39" t="s">
        <v>419</v>
      </c>
      <c r="G116" t="s">
        <v>510</v>
      </c>
      <c r="H116" s="39">
        <v>0</v>
      </c>
      <c r="I116" s="39" t="s">
        <v>89</v>
      </c>
    </row>
    <row r="117" spans="1:9" x14ac:dyDescent="0.3">
      <c r="A117" t="s">
        <v>193</v>
      </c>
      <c r="B117" t="s">
        <v>290</v>
      </c>
      <c r="C117" t="s">
        <v>291</v>
      </c>
      <c r="D117" t="s">
        <v>693</v>
      </c>
      <c r="E117" t="s">
        <v>694</v>
      </c>
      <c r="F117" s="39" t="s">
        <v>419</v>
      </c>
      <c r="G117" t="s">
        <v>437</v>
      </c>
      <c r="H117" s="39">
        <v>0</v>
      </c>
      <c r="I117" s="39" t="s">
        <v>89</v>
      </c>
    </row>
    <row r="118" spans="1:9" x14ac:dyDescent="0.3">
      <c r="A118" t="s">
        <v>193</v>
      </c>
      <c r="B118" t="s">
        <v>290</v>
      </c>
      <c r="C118" t="s">
        <v>291</v>
      </c>
      <c r="D118" t="s">
        <v>695</v>
      </c>
      <c r="E118" t="s">
        <v>696</v>
      </c>
      <c r="F118" s="39" t="s">
        <v>419</v>
      </c>
      <c r="G118" t="s">
        <v>697</v>
      </c>
      <c r="H118" s="39">
        <v>0</v>
      </c>
      <c r="I118" s="39" t="s">
        <v>89</v>
      </c>
    </row>
    <row r="119" spans="1:9" x14ac:dyDescent="0.3">
      <c r="A119" t="s">
        <v>193</v>
      </c>
      <c r="B119" t="s">
        <v>290</v>
      </c>
      <c r="C119" t="s">
        <v>291</v>
      </c>
      <c r="D119" t="s">
        <v>698</v>
      </c>
      <c r="E119" t="s">
        <v>699</v>
      </c>
      <c r="F119" s="39" t="s">
        <v>419</v>
      </c>
      <c r="G119" t="s">
        <v>499</v>
      </c>
      <c r="H119" s="39">
        <v>0</v>
      </c>
      <c r="I119" s="39" t="s">
        <v>89</v>
      </c>
    </row>
    <row r="120" spans="1:9" x14ac:dyDescent="0.3">
      <c r="A120" t="s">
        <v>193</v>
      </c>
      <c r="B120" t="s">
        <v>290</v>
      </c>
      <c r="C120" t="s">
        <v>291</v>
      </c>
      <c r="D120" t="s">
        <v>700</v>
      </c>
      <c r="E120" t="s">
        <v>701</v>
      </c>
      <c r="F120" s="39" t="s">
        <v>419</v>
      </c>
      <c r="G120" t="s">
        <v>609</v>
      </c>
      <c r="H120" s="39">
        <v>0</v>
      </c>
      <c r="I120" s="39" t="s">
        <v>89</v>
      </c>
    </row>
    <row r="121" spans="1:9" x14ac:dyDescent="0.3">
      <c r="A121" t="s">
        <v>193</v>
      </c>
      <c r="B121" t="s">
        <v>290</v>
      </c>
      <c r="C121" t="s">
        <v>291</v>
      </c>
      <c r="D121" t="s">
        <v>702</v>
      </c>
      <c r="E121" t="s">
        <v>703</v>
      </c>
      <c r="F121" s="39" t="s">
        <v>419</v>
      </c>
      <c r="G121" t="s">
        <v>437</v>
      </c>
      <c r="H121" s="39">
        <v>0</v>
      </c>
      <c r="I121" s="39" t="s">
        <v>89</v>
      </c>
    </row>
    <row r="122" spans="1:9" x14ac:dyDescent="0.3">
      <c r="A122" t="s">
        <v>193</v>
      </c>
      <c r="B122" t="s">
        <v>290</v>
      </c>
      <c r="C122" t="s">
        <v>291</v>
      </c>
      <c r="D122" t="s">
        <v>704</v>
      </c>
      <c r="E122" t="s">
        <v>705</v>
      </c>
      <c r="F122" s="39" t="s">
        <v>419</v>
      </c>
      <c r="G122" t="s">
        <v>437</v>
      </c>
      <c r="H122" s="39">
        <v>0</v>
      </c>
      <c r="I122" s="39" t="s">
        <v>89</v>
      </c>
    </row>
    <row r="123" spans="1:9" x14ac:dyDescent="0.3">
      <c r="A123" t="s">
        <v>193</v>
      </c>
      <c r="B123" t="s">
        <v>290</v>
      </c>
      <c r="C123" t="s">
        <v>291</v>
      </c>
      <c r="D123" t="s">
        <v>706</v>
      </c>
      <c r="E123" t="s">
        <v>707</v>
      </c>
      <c r="F123" s="39" t="s">
        <v>419</v>
      </c>
      <c r="G123" t="s">
        <v>437</v>
      </c>
      <c r="H123" s="39">
        <v>0</v>
      </c>
      <c r="I123" s="39" t="s">
        <v>89</v>
      </c>
    </row>
    <row r="124" spans="1:9" x14ac:dyDescent="0.3">
      <c r="A124" t="s">
        <v>193</v>
      </c>
      <c r="B124" t="s">
        <v>290</v>
      </c>
      <c r="C124" t="s">
        <v>291</v>
      </c>
      <c r="D124" t="s">
        <v>708</v>
      </c>
      <c r="E124" t="s">
        <v>709</v>
      </c>
      <c r="F124" s="39" t="s">
        <v>419</v>
      </c>
      <c r="G124" t="s">
        <v>513</v>
      </c>
      <c r="H124" s="39">
        <v>0</v>
      </c>
      <c r="I124" s="39" t="s">
        <v>89</v>
      </c>
    </row>
    <row r="125" spans="1:9" x14ac:dyDescent="0.3">
      <c r="A125" t="s">
        <v>193</v>
      </c>
      <c r="B125" t="s">
        <v>290</v>
      </c>
      <c r="C125" t="s">
        <v>291</v>
      </c>
      <c r="D125" t="s">
        <v>710</v>
      </c>
      <c r="E125" t="s">
        <v>711</v>
      </c>
      <c r="F125" s="39" t="s">
        <v>419</v>
      </c>
      <c r="G125" t="s">
        <v>513</v>
      </c>
      <c r="H125" s="39">
        <v>0</v>
      </c>
      <c r="I125" s="39" t="s">
        <v>89</v>
      </c>
    </row>
    <row r="126" spans="1:9" x14ac:dyDescent="0.3">
      <c r="A126" t="s">
        <v>82</v>
      </c>
      <c r="B126" t="s">
        <v>294</v>
      </c>
      <c r="C126" t="s">
        <v>295</v>
      </c>
      <c r="D126" t="s">
        <v>712</v>
      </c>
      <c r="E126" t="s">
        <v>713</v>
      </c>
      <c r="F126" s="39" t="s">
        <v>419</v>
      </c>
      <c r="G126" t="s">
        <v>437</v>
      </c>
      <c r="H126" s="39">
        <v>0</v>
      </c>
      <c r="I126" s="39" t="s">
        <v>89</v>
      </c>
    </row>
    <row r="127" spans="1:9" x14ac:dyDescent="0.3">
      <c r="A127" t="s">
        <v>82</v>
      </c>
      <c r="B127" t="s">
        <v>294</v>
      </c>
      <c r="C127" t="s">
        <v>295</v>
      </c>
      <c r="D127" t="s">
        <v>714</v>
      </c>
      <c r="E127" t="s">
        <v>715</v>
      </c>
      <c r="F127" s="39" t="s">
        <v>419</v>
      </c>
      <c r="G127" t="s">
        <v>492</v>
      </c>
      <c r="H127" s="39">
        <v>0</v>
      </c>
      <c r="I127" s="39" t="s">
        <v>89</v>
      </c>
    </row>
    <row r="128" spans="1:9" x14ac:dyDescent="0.3">
      <c r="A128" t="s">
        <v>82</v>
      </c>
      <c r="B128" t="s">
        <v>294</v>
      </c>
      <c r="C128" t="s">
        <v>295</v>
      </c>
      <c r="D128" t="s">
        <v>716</v>
      </c>
      <c r="E128" t="s">
        <v>717</v>
      </c>
      <c r="F128" s="39" t="s">
        <v>419</v>
      </c>
      <c r="G128" t="s">
        <v>513</v>
      </c>
      <c r="H128" s="39">
        <v>0</v>
      </c>
      <c r="I128" s="39" t="s">
        <v>89</v>
      </c>
    </row>
    <row r="129" spans="1:9" x14ac:dyDescent="0.3">
      <c r="A129" t="s">
        <v>82</v>
      </c>
      <c r="B129" t="s">
        <v>294</v>
      </c>
      <c r="C129" t="s">
        <v>295</v>
      </c>
      <c r="D129" t="s">
        <v>718</v>
      </c>
      <c r="E129" t="s">
        <v>719</v>
      </c>
      <c r="F129" s="39" t="s">
        <v>419</v>
      </c>
      <c r="G129" t="s">
        <v>428</v>
      </c>
      <c r="H129" s="39">
        <v>0</v>
      </c>
      <c r="I129" s="39" t="s">
        <v>89</v>
      </c>
    </row>
    <row r="130" spans="1:9" x14ac:dyDescent="0.3">
      <c r="A130" t="s">
        <v>82</v>
      </c>
      <c r="B130" t="s">
        <v>294</v>
      </c>
      <c r="C130" t="s">
        <v>295</v>
      </c>
      <c r="D130" t="s">
        <v>720</v>
      </c>
      <c r="E130" t="s">
        <v>721</v>
      </c>
      <c r="F130" s="39" t="s">
        <v>419</v>
      </c>
      <c r="G130" t="s">
        <v>428</v>
      </c>
      <c r="H130" s="39">
        <v>0</v>
      </c>
      <c r="I130" s="39" t="s">
        <v>89</v>
      </c>
    </row>
    <row r="131" spans="1:9" x14ac:dyDescent="0.3">
      <c r="A131" t="s">
        <v>82</v>
      </c>
      <c r="B131" t="s">
        <v>294</v>
      </c>
      <c r="C131" t="s">
        <v>295</v>
      </c>
      <c r="D131" t="s">
        <v>722</v>
      </c>
      <c r="E131" t="s">
        <v>723</v>
      </c>
      <c r="F131" s="39" t="s">
        <v>419</v>
      </c>
      <c r="G131" t="s">
        <v>551</v>
      </c>
      <c r="H131" s="39">
        <v>0</v>
      </c>
      <c r="I131" s="39" t="s">
        <v>89</v>
      </c>
    </row>
    <row r="132" spans="1:9" x14ac:dyDescent="0.3">
      <c r="A132" t="s">
        <v>82</v>
      </c>
      <c r="B132" t="s">
        <v>294</v>
      </c>
      <c r="C132" t="s">
        <v>295</v>
      </c>
      <c r="D132" t="s">
        <v>724</v>
      </c>
      <c r="E132" t="s">
        <v>725</v>
      </c>
      <c r="F132" s="39" t="s">
        <v>419</v>
      </c>
      <c r="G132" t="s">
        <v>513</v>
      </c>
      <c r="H132" s="39">
        <v>0</v>
      </c>
      <c r="I132" s="39" t="s">
        <v>89</v>
      </c>
    </row>
    <row r="133" spans="1:9" x14ac:dyDescent="0.3">
      <c r="A133" t="s">
        <v>82</v>
      </c>
      <c r="B133" t="s">
        <v>294</v>
      </c>
      <c r="C133" t="s">
        <v>295</v>
      </c>
      <c r="D133" t="s">
        <v>726</v>
      </c>
      <c r="E133" t="s">
        <v>727</v>
      </c>
      <c r="F133" s="39" t="s">
        <v>419</v>
      </c>
      <c r="G133" t="s">
        <v>513</v>
      </c>
      <c r="H133" s="39">
        <v>0</v>
      </c>
      <c r="I133" s="39" t="s">
        <v>89</v>
      </c>
    </row>
    <row r="134" spans="1:9" x14ac:dyDescent="0.3">
      <c r="A134" t="s">
        <v>82</v>
      </c>
      <c r="B134" t="s">
        <v>294</v>
      </c>
      <c r="C134" t="s">
        <v>295</v>
      </c>
      <c r="D134" t="s">
        <v>728</v>
      </c>
      <c r="E134" t="s">
        <v>729</v>
      </c>
      <c r="F134" s="39" t="s">
        <v>419</v>
      </c>
      <c r="G134" t="s">
        <v>452</v>
      </c>
      <c r="H134" s="39">
        <v>0</v>
      </c>
      <c r="I134" s="39" t="s">
        <v>89</v>
      </c>
    </row>
    <row r="135" spans="1:9" x14ac:dyDescent="0.3">
      <c r="A135" t="s">
        <v>82</v>
      </c>
      <c r="B135" t="s">
        <v>294</v>
      </c>
      <c r="C135" t="s">
        <v>295</v>
      </c>
      <c r="D135" t="s">
        <v>730</v>
      </c>
      <c r="E135" t="s">
        <v>731</v>
      </c>
      <c r="F135" s="39" t="s">
        <v>419</v>
      </c>
      <c r="G135" t="s">
        <v>437</v>
      </c>
      <c r="H135" s="39">
        <v>0</v>
      </c>
      <c r="I135" s="39" t="s">
        <v>89</v>
      </c>
    </row>
    <row r="136" spans="1:9" x14ac:dyDescent="0.3">
      <c r="A136" t="s">
        <v>82</v>
      </c>
      <c r="B136" t="s">
        <v>294</v>
      </c>
      <c r="C136" t="s">
        <v>295</v>
      </c>
      <c r="D136" t="s">
        <v>732</v>
      </c>
      <c r="E136" t="s">
        <v>733</v>
      </c>
      <c r="F136" s="39" t="s">
        <v>419</v>
      </c>
      <c r="G136" t="s">
        <v>444</v>
      </c>
      <c r="H136" s="39">
        <v>0</v>
      </c>
      <c r="I136" s="39" t="s">
        <v>89</v>
      </c>
    </row>
    <row r="137" spans="1:9" x14ac:dyDescent="0.3">
      <c r="A137" t="s">
        <v>82</v>
      </c>
      <c r="B137" t="s">
        <v>294</v>
      </c>
      <c r="C137" t="s">
        <v>295</v>
      </c>
      <c r="D137" t="s">
        <v>734</v>
      </c>
      <c r="E137" t="s">
        <v>735</v>
      </c>
      <c r="F137" s="39" t="s">
        <v>419</v>
      </c>
      <c r="G137" t="s">
        <v>428</v>
      </c>
      <c r="H137" s="39">
        <v>0</v>
      </c>
      <c r="I137" s="39" t="s">
        <v>89</v>
      </c>
    </row>
    <row r="138" spans="1:9" x14ac:dyDescent="0.3">
      <c r="A138" t="s">
        <v>82</v>
      </c>
      <c r="B138" t="s">
        <v>294</v>
      </c>
      <c r="C138" t="s">
        <v>295</v>
      </c>
      <c r="D138" t="s">
        <v>736</v>
      </c>
      <c r="E138" t="s">
        <v>737</v>
      </c>
      <c r="F138" s="39" t="s">
        <v>419</v>
      </c>
      <c r="G138" t="s">
        <v>510</v>
      </c>
      <c r="H138" s="39">
        <v>0</v>
      </c>
      <c r="I138" s="39" t="s">
        <v>89</v>
      </c>
    </row>
    <row r="139" spans="1:9" x14ac:dyDescent="0.3">
      <c r="A139" t="s">
        <v>82</v>
      </c>
      <c r="B139" t="s">
        <v>294</v>
      </c>
      <c r="C139" t="s">
        <v>295</v>
      </c>
      <c r="D139" t="s">
        <v>738</v>
      </c>
      <c r="E139" t="s">
        <v>739</v>
      </c>
      <c r="F139" s="39" t="s">
        <v>419</v>
      </c>
      <c r="G139" t="s">
        <v>460</v>
      </c>
      <c r="H139" s="39">
        <v>0</v>
      </c>
      <c r="I139" s="39" t="s">
        <v>89</v>
      </c>
    </row>
    <row r="140" spans="1:9" x14ac:dyDescent="0.3">
      <c r="A140" t="s">
        <v>82</v>
      </c>
      <c r="B140" t="s">
        <v>294</v>
      </c>
      <c r="C140" t="s">
        <v>295</v>
      </c>
      <c r="D140" t="s">
        <v>740</v>
      </c>
      <c r="E140" t="s">
        <v>741</v>
      </c>
      <c r="F140" s="39" t="s">
        <v>419</v>
      </c>
      <c r="G140" t="s">
        <v>437</v>
      </c>
      <c r="H140" s="39">
        <v>0</v>
      </c>
      <c r="I140" s="39" t="s">
        <v>89</v>
      </c>
    </row>
    <row r="141" spans="1:9" x14ac:dyDescent="0.3">
      <c r="A141" t="s">
        <v>82</v>
      </c>
      <c r="B141" t="s">
        <v>294</v>
      </c>
      <c r="C141" t="s">
        <v>295</v>
      </c>
      <c r="D141" t="s">
        <v>742</v>
      </c>
      <c r="E141" t="s">
        <v>743</v>
      </c>
      <c r="F141" s="39" t="s">
        <v>419</v>
      </c>
      <c r="G141" t="s">
        <v>571</v>
      </c>
      <c r="H141" s="39">
        <v>0</v>
      </c>
      <c r="I141" s="39" t="s">
        <v>89</v>
      </c>
    </row>
    <row r="142" spans="1:9" x14ac:dyDescent="0.3">
      <c r="A142" t="s">
        <v>82</v>
      </c>
      <c r="B142" t="s">
        <v>294</v>
      </c>
      <c r="C142" t="s">
        <v>295</v>
      </c>
      <c r="D142" t="s">
        <v>744</v>
      </c>
      <c r="E142" t="s">
        <v>745</v>
      </c>
      <c r="F142" s="39" t="s">
        <v>419</v>
      </c>
      <c r="G142" t="s">
        <v>428</v>
      </c>
      <c r="H142" s="39">
        <v>0</v>
      </c>
      <c r="I142" s="39" t="s">
        <v>89</v>
      </c>
    </row>
    <row r="143" spans="1:9" x14ac:dyDescent="0.3">
      <c r="A143" t="s">
        <v>193</v>
      </c>
      <c r="B143" t="s">
        <v>323</v>
      </c>
      <c r="C143" t="s">
        <v>324</v>
      </c>
      <c r="D143" t="s">
        <v>746</v>
      </c>
      <c r="E143" t="s">
        <v>747</v>
      </c>
      <c r="F143" s="39" t="s">
        <v>419</v>
      </c>
      <c r="G143" t="s">
        <v>748</v>
      </c>
      <c r="H143" s="39">
        <v>0</v>
      </c>
      <c r="I143" s="39" t="s">
        <v>90</v>
      </c>
    </row>
    <row r="144" spans="1:9" x14ac:dyDescent="0.3">
      <c r="A144" t="s">
        <v>193</v>
      </c>
      <c r="B144" t="s">
        <v>323</v>
      </c>
      <c r="C144" t="s">
        <v>324</v>
      </c>
      <c r="D144" t="s">
        <v>749</v>
      </c>
      <c r="E144" t="s">
        <v>750</v>
      </c>
      <c r="F144" s="39" t="s">
        <v>419</v>
      </c>
      <c r="G144" t="s">
        <v>551</v>
      </c>
      <c r="H144" s="39">
        <v>0</v>
      </c>
      <c r="I144" s="39" t="s">
        <v>89</v>
      </c>
    </row>
    <row r="145" spans="1:9" x14ac:dyDescent="0.3">
      <c r="A145" t="s">
        <v>193</v>
      </c>
      <c r="B145" t="s">
        <v>323</v>
      </c>
      <c r="C145" t="s">
        <v>324</v>
      </c>
      <c r="D145" t="s">
        <v>751</v>
      </c>
      <c r="E145" t="s">
        <v>752</v>
      </c>
      <c r="F145" s="39" t="s">
        <v>419</v>
      </c>
      <c r="G145" t="s">
        <v>437</v>
      </c>
      <c r="H145" s="39">
        <v>0</v>
      </c>
      <c r="I145" s="39" t="s">
        <v>89</v>
      </c>
    </row>
    <row r="146" spans="1:9" x14ac:dyDescent="0.3">
      <c r="A146" t="s">
        <v>193</v>
      </c>
      <c r="B146" t="s">
        <v>323</v>
      </c>
      <c r="C146" t="s">
        <v>324</v>
      </c>
      <c r="D146" t="s">
        <v>753</v>
      </c>
      <c r="E146" t="s">
        <v>152</v>
      </c>
      <c r="F146" s="39" t="s">
        <v>419</v>
      </c>
      <c r="G146" t="s">
        <v>437</v>
      </c>
      <c r="H146" s="39">
        <v>0</v>
      </c>
      <c r="I146" s="39" t="s">
        <v>89</v>
      </c>
    </row>
    <row r="147" spans="1:9" x14ac:dyDescent="0.3">
      <c r="A147" t="s">
        <v>193</v>
      </c>
      <c r="B147" t="s">
        <v>323</v>
      </c>
      <c r="C147" t="s">
        <v>324</v>
      </c>
      <c r="D147" t="s">
        <v>754</v>
      </c>
      <c r="E147" t="s">
        <v>755</v>
      </c>
      <c r="F147" s="39" t="s">
        <v>419</v>
      </c>
      <c r="G147" t="s">
        <v>434</v>
      </c>
      <c r="H147" s="39">
        <v>0</v>
      </c>
      <c r="I147" s="39" t="s">
        <v>89</v>
      </c>
    </row>
    <row r="148" spans="1:9" x14ac:dyDescent="0.3">
      <c r="A148" t="s">
        <v>193</v>
      </c>
      <c r="B148" t="s">
        <v>323</v>
      </c>
      <c r="C148" t="s">
        <v>324</v>
      </c>
      <c r="D148" t="s">
        <v>756</v>
      </c>
      <c r="E148" t="s">
        <v>757</v>
      </c>
      <c r="F148" s="39" t="s">
        <v>419</v>
      </c>
      <c r="G148" t="s">
        <v>568</v>
      </c>
      <c r="H148" s="39">
        <v>0</v>
      </c>
      <c r="I148" s="39" t="s">
        <v>89</v>
      </c>
    </row>
    <row r="149" spans="1:9" x14ac:dyDescent="0.3">
      <c r="A149" t="s">
        <v>193</v>
      </c>
      <c r="B149" t="s">
        <v>323</v>
      </c>
      <c r="C149" t="s">
        <v>324</v>
      </c>
      <c r="D149" t="s">
        <v>758</v>
      </c>
      <c r="E149" t="s">
        <v>759</v>
      </c>
      <c r="F149" s="39" t="s">
        <v>419</v>
      </c>
      <c r="G149" t="s">
        <v>760</v>
      </c>
      <c r="H149" s="39">
        <v>0</v>
      </c>
      <c r="I149" s="39" t="s">
        <v>89</v>
      </c>
    </row>
    <row r="150" spans="1:9" x14ac:dyDescent="0.3">
      <c r="A150" t="s">
        <v>193</v>
      </c>
      <c r="B150" t="s">
        <v>323</v>
      </c>
      <c r="C150" t="s">
        <v>324</v>
      </c>
      <c r="D150" t="s">
        <v>761</v>
      </c>
      <c r="E150" t="s">
        <v>762</v>
      </c>
      <c r="F150" s="39" t="s">
        <v>419</v>
      </c>
      <c r="G150" t="s">
        <v>428</v>
      </c>
      <c r="H150" s="39">
        <v>0</v>
      </c>
      <c r="I150" s="39" t="s">
        <v>89</v>
      </c>
    </row>
    <row r="151" spans="1:9" x14ac:dyDescent="0.3">
      <c r="A151" t="s">
        <v>82</v>
      </c>
      <c r="B151" t="s">
        <v>763</v>
      </c>
      <c r="C151" t="s">
        <v>764</v>
      </c>
      <c r="D151" t="s">
        <v>765</v>
      </c>
      <c r="E151" t="s">
        <v>766</v>
      </c>
      <c r="F151" s="39" t="s">
        <v>419</v>
      </c>
      <c r="G151" t="s">
        <v>428</v>
      </c>
      <c r="H151" s="39">
        <v>0</v>
      </c>
      <c r="I151" s="39" t="s">
        <v>89</v>
      </c>
    </row>
    <row r="152" spans="1:9" x14ac:dyDescent="0.3">
      <c r="A152" t="s">
        <v>82</v>
      </c>
      <c r="B152" t="s">
        <v>763</v>
      </c>
      <c r="C152" t="s">
        <v>764</v>
      </c>
      <c r="D152" t="s">
        <v>767</v>
      </c>
      <c r="E152" t="s">
        <v>768</v>
      </c>
      <c r="F152" s="39" t="s">
        <v>419</v>
      </c>
      <c r="G152" t="s">
        <v>437</v>
      </c>
      <c r="H152" s="39">
        <v>0</v>
      </c>
      <c r="I152" s="39" t="s">
        <v>89</v>
      </c>
    </row>
    <row r="153" spans="1:9" x14ac:dyDescent="0.3">
      <c r="A153" t="s">
        <v>82</v>
      </c>
      <c r="B153" t="s">
        <v>769</v>
      </c>
      <c r="C153" t="s">
        <v>770</v>
      </c>
      <c r="D153" t="s">
        <v>771</v>
      </c>
      <c r="E153" t="s">
        <v>772</v>
      </c>
      <c r="F153" s="39" t="s">
        <v>419</v>
      </c>
      <c r="G153" t="s">
        <v>551</v>
      </c>
      <c r="H153" s="39">
        <v>0</v>
      </c>
      <c r="I153" s="39" t="s">
        <v>90</v>
      </c>
    </row>
    <row r="154" spans="1:9" x14ac:dyDescent="0.3">
      <c r="A154" t="s">
        <v>82</v>
      </c>
      <c r="B154" t="s">
        <v>773</v>
      </c>
      <c r="C154" t="s">
        <v>774</v>
      </c>
      <c r="D154" t="s">
        <v>775</v>
      </c>
      <c r="E154" t="s">
        <v>776</v>
      </c>
      <c r="F154" s="39" t="s">
        <v>419</v>
      </c>
      <c r="G154" t="s">
        <v>434</v>
      </c>
      <c r="H154" s="39">
        <v>0</v>
      </c>
      <c r="I154" s="39" t="s">
        <v>89</v>
      </c>
    </row>
    <row r="155" spans="1:9" x14ac:dyDescent="0.3">
      <c r="A155" t="s">
        <v>82</v>
      </c>
      <c r="B155" t="s">
        <v>773</v>
      </c>
      <c r="C155" t="s">
        <v>774</v>
      </c>
      <c r="D155" t="s">
        <v>777</v>
      </c>
      <c r="E155" t="s">
        <v>778</v>
      </c>
      <c r="F155" s="39" t="s">
        <v>419</v>
      </c>
      <c r="G155" t="s">
        <v>437</v>
      </c>
      <c r="H155" s="39">
        <v>0</v>
      </c>
      <c r="I155" s="39" t="s">
        <v>89</v>
      </c>
    </row>
    <row r="156" spans="1:9" x14ac:dyDescent="0.3">
      <c r="A156" t="s">
        <v>337</v>
      </c>
      <c r="B156" t="s">
        <v>338</v>
      </c>
      <c r="C156" t="s">
        <v>339</v>
      </c>
      <c r="D156" t="s">
        <v>779</v>
      </c>
      <c r="E156" t="s">
        <v>780</v>
      </c>
      <c r="F156" s="39" t="s">
        <v>419</v>
      </c>
      <c r="G156" t="s">
        <v>643</v>
      </c>
      <c r="H156" s="39">
        <v>0</v>
      </c>
      <c r="I156" s="39" t="s">
        <v>90</v>
      </c>
    </row>
    <row r="157" spans="1:9" x14ac:dyDescent="0.3">
      <c r="A157" t="s">
        <v>337</v>
      </c>
      <c r="B157" t="s">
        <v>338</v>
      </c>
      <c r="C157" t="s">
        <v>339</v>
      </c>
      <c r="D157" t="s">
        <v>781</v>
      </c>
      <c r="E157" t="s">
        <v>782</v>
      </c>
      <c r="F157" s="39" t="s">
        <v>419</v>
      </c>
      <c r="G157" t="s">
        <v>643</v>
      </c>
      <c r="H157" s="39">
        <v>0</v>
      </c>
      <c r="I157" s="39" t="s">
        <v>89</v>
      </c>
    </row>
    <row r="158" spans="1:9" x14ac:dyDescent="0.3">
      <c r="A158" t="s">
        <v>337</v>
      </c>
      <c r="B158" t="s">
        <v>338</v>
      </c>
      <c r="C158" t="s">
        <v>339</v>
      </c>
      <c r="D158" t="s">
        <v>783</v>
      </c>
      <c r="E158" t="s">
        <v>784</v>
      </c>
      <c r="F158" s="39" t="s">
        <v>419</v>
      </c>
      <c r="G158" t="s">
        <v>748</v>
      </c>
      <c r="H158" s="39">
        <v>0</v>
      </c>
      <c r="I158" s="39" t="s">
        <v>89</v>
      </c>
    </row>
    <row r="159" spans="1:9" x14ac:dyDescent="0.3">
      <c r="A159" t="s">
        <v>337</v>
      </c>
      <c r="B159" t="s">
        <v>338</v>
      </c>
      <c r="C159" t="s">
        <v>339</v>
      </c>
      <c r="D159" t="s">
        <v>785</v>
      </c>
      <c r="E159" t="s">
        <v>786</v>
      </c>
      <c r="F159" s="39" t="s">
        <v>419</v>
      </c>
      <c r="G159" t="s">
        <v>787</v>
      </c>
      <c r="H159" s="39">
        <v>0</v>
      </c>
      <c r="I159" s="39" t="s">
        <v>89</v>
      </c>
    </row>
    <row r="160" spans="1:9" x14ac:dyDescent="0.3">
      <c r="A160" t="s">
        <v>337</v>
      </c>
      <c r="B160" t="s">
        <v>338</v>
      </c>
      <c r="C160" t="s">
        <v>339</v>
      </c>
      <c r="D160" t="s">
        <v>788</v>
      </c>
      <c r="E160" t="s">
        <v>789</v>
      </c>
      <c r="F160" s="39" t="s">
        <v>419</v>
      </c>
      <c r="G160" t="s">
        <v>790</v>
      </c>
      <c r="H160" s="39">
        <v>0</v>
      </c>
      <c r="I160" s="39" t="s">
        <v>89</v>
      </c>
    </row>
    <row r="161" spans="1:9" x14ac:dyDescent="0.3">
      <c r="A161" t="s">
        <v>337</v>
      </c>
      <c r="B161" t="s">
        <v>338</v>
      </c>
      <c r="C161" t="s">
        <v>339</v>
      </c>
      <c r="D161" t="s">
        <v>791</v>
      </c>
      <c r="E161" t="s">
        <v>792</v>
      </c>
      <c r="F161" s="39" t="s">
        <v>419</v>
      </c>
      <c r="G161" t="s">
        <v>428</v>
      </c>
      <c r="H161" s="39">
        <v>0</v>
      </c>
      <c r="I161" s="39" t="s">
        <v>90</v>
      </c>
    </row>
    <row r="162" spans="1:9" x14ac:dyDescent="0.3">
      <c r="A162" t="s">
        <v>337</v>
      </c>
      <c r="B162" t="s">
        <v>338</v>
      </c>
      <c r="C162" t="s">
        <v>339</v>
      </c>
      <c r="D162" t="s">
        <v>793</v>
      </c>
      <c r="E162" t="s">
        <v>794</v>
      </c>
      <c r="F162" s="39" t="s">
        <v>419</v>
      </c>
      <c r="G162" t="s">
        <v>551</v>
      </c>
      <c r="H162" s="39">
        <v>0</v>
      </c>
      <c r="I162" s="39" t="s">
        <v>90</v>
      </c>
    </row>
    <row r="163" spans="1:9" x14ac:dyDescent="0.3">
      <c r="A163" t="s">
        <v>337</v>
      </c>
      <c r="B163" t="s">
        <v>338</v>
      </c>
      <c r="C163" t="s">
        <v>339</v>
      </c>
      <c r="D163" t="s">
        <v>795</v>
      </c>
      <c r="E163" t="s">
        <v>796</v>
      </c>
      <c r="F163" s="39" t="s">
        <v>419</v>
      </c>
      <c r="G163" t="s">
        <v>797</v>
      </c>
      <c r="H163" s="39">
        <v>0</v>
      </c>
      <c r="I163" s="39" t="s">
        <v>89</v>
      </c>
    </row>
    <row r="164" spans="1:9" x14ac:dyDescent="0.3">
      <c r="A164" t="s">
        <v>337</v>
      </c>
      <c r="B164" t="s">
        <v>338</v>
      </c>
      <c r="C164" t="s">
        <v>339</v>
      </c>
      <c r="D164" t="s">
        <v>798</v>
      </c>
      <c r="E164" t="s">
        <v>799</v>
      </c>
      <c r="F164" s="39" t="s">
        <v>419</v>
      </c>
      <c r="G164" t="s">
        <v>463</v>
      </c>
      <c r="H164" s="39">
        <v>0</v>
      </c>
      <c r="I164" s="39" t="s">
        <v>89</v>
      </c>
    </row>
    <row r="165" spans="1:9" x14ac:dyDescent="0.3">
      <c r="A165" t="s">
        <v>337</v>
      </c>
      <c r="B165" t="s">
        <v>338</v>
      </c>
      <c r="C165" t="s">
        <v>339</v>
      </c>
      <c r="D165" t="s">
        <v>800</v>
      </c>
      <c r="E165" t="s">
        <v>801</v>
      </c>
      <c r="F165" s="39" t="s">
        <v>419</v>
      </c>
      <c r="G165" t="s">
        <v>802</v>
      </c>
      <c r="H165" s="39">
        <v>0</v>
      </c>
      <c r="I165" s="39" t="s">
        <v>89</v>
      </c>
    </row>
    <row r="166" spans="1:9" x14ac:dyDescent="0.3">
      <c r="A166" t="s">
        <v>337</v>
      </c>
      <c r="B166" t="s">
        <v>338</v>
      </c>
      <c r="C166" t="s">
        <v>339</v>
      </c>
      <c r="D166" t="s">
        <v>803</v>
      </c>
      <c r="E166" t="s">
        <v>804</v>
      </c>
      <c r="F166" s="39" t="s">
        <v>419</v>
      </c>
      <c r="G166" t="s">
        <v>437</v>
      </c>
      <c r="H166" s="39">
        <v>0</v>
      </c>
      <c r="I166" s="39" t="s">
        <v>89</v>
      </c>
    </row>
    <row r="167" spans="1:9" x14ac:dyDescent="0.3">
      <c r="A167" t="s">
        <v>337</v>
      </c>
      <c r="B167" t="s">
        <v>338</v>
      </c>
      <c r="C167" t="s">
        <v>339</v>
      </c>
      <c r="D167" t="s">
        <v>805</v>
      </c>
      <c r="E167" t="s">
        <v>806</v>
      </c>
      <c r="F167" s="39" t="s">
        <v>419</v>
      </c>
      <c r="G167" t="s">
        <v>540</v>
      </c>
      <c r="H167" s="39">
        <v>0</v>
      </c>
      <c r="I167" s="39" t="s">
        <v>89</v>
      </c>
    </row>
    <row r="168" spans="1:9" x14ac:dyDescent="0.3">
      <c r="A168" t="s">
        <v>337</v>
      </c>
      <c r="B168" t="s">
        <v>346</v>
      </c>
      <c r="C168" t="s">
        <v>347</v>
      </c>
      <c r="D168" t="s">
        <v>807</v>
      </c>
      <c r="E168" t="s">
        <v>808</v>
      </c>
      <c r="F168" s="39" t="s">
        <v>419</v>
      </c>
      <c r="G168" t="s">
        <v>452</v>
      </c>
      <c r="H168" s="39">
        <v>0</v>
      </c>
      <c r="I168" s="39" t="s">
        <v>89</v>
      </c>
    </row>
    <row r="169" spans="1:9" x14ac:dyDescent="0.3">
      <c r="A169" t="s">
        <v>337</v>
      </c>
      <c r="B169" t="s">
        <v>346</v>
      </c>
      <c r="C169" t="s">
        <v>347</v>
      </c>
      <c r="D169" t="s">
        <v>809</v>
      </c>
      <c r="E169" t="s">
        <v>810</v>
      </c>
      <c r="F169" s="39" t="s">
        <v>419</v>
      </c>
      <c r="G169" t="s">
        <v>437</v>
      </c>
      <c r="H169" s="39">
        <v>0</v>
      </c>
      <c r="I169" s="39" t="s">
        <v>89</v>
      </c>
    </row>
    <row r="170" spans="1:9" x14ac:dyDescent="0.3">
      <c r="A170" t="s">
        <v>337</v>
      </c>
      <c r="B170" t="s">
        <v>346</v>
      </c>
      <c r="C170" t="s">
        <v>347</v>
      </c>
      <c r="D170" t="s">
        <v>811</v>
      </c>
      <c r="E170" t="s">
        <v>812</v>
      </c>
      <c r="F170" s="39" t="s">
        <v>419</v>
      </c>
      <c r="G170" t="s">
        <v>565</v>
      </c>
      <c r="H170" s="39">
        <v>0</v>
      </c>
      <c r="I170" s="39" t="s">
        <v>89</v>
      </c>
    </row>
    <row r="171" spans="1:9" x14ac:dyDescent="0.3">
      <c r="A171" t="s">
        <v>337</v>
      </c>
      <c r="B171" t="s">
        <v>346</v>
      </c>
      <c r="C171" t="s">
        <v>347</v>
      </c>
      <c r="D171" t="s">
        <v>813</v>
      </c>
      <c r="E171" t="s">
        <v>814</v>
      </c>
      <c r="F171" s="39" t="s">
        <v>419</v>
      </c>
      <c r="G171" t="s">
        <v>437</v>
      </c>
      <c r="H171" s="39">
        <v>0</v>
      </c>
      <c r="I171" s="39" t="s">
        <v>89</v>
      </c>
    </row>
    <row r="172" spans="1:9" x14ac:dyDescent="0.3">
      <c r="A172" t="s">
        <v>337</v>
      </c>
      <c r="B172" t="s">
        <v>346</v>
      </c>
      <c r="C172" t="s">
        <v>347</v>
      </c>
      <c r="D172" t="s">
        <v>815</v>
      </c>
      <c r="E172" t="s">
        <v>816</v>
      </c>
      <c r="F172" s="39" t="s">
        <v>419</v>
      </c>
      <c r="G172" t="s">
        <v>437</v>
      </c>
      <c r="H172" s="39">
        <v>0</v>
      </c>
      <c r="I172" s="39" t="s">
        <v>89</v>
      </c>
    </row>
    <row r="173" spans="1:9" x14ac:dyDescent="0.3">
      <c r="A173" t="s">
        <v>337</v>
      </c>
      <c r="B173" t="s">
        <v>346</v>
      </c>
      <c r="C173" t="s">
        <v>347</v>
      </c>
      <c r="D173" t="s">
        <v>817</v>
      </c>
      <c r="E173" t="s">
        <v>818</v>
      </c>
      <c r="F173" s="39" t="s">
        <v>419</v>
      </c>
      <c r="G173" t="s">
        <v>492</v>
      </c>
      <c r="H173" s="39">
        <v>0</v>
      </c>
      <c r="I173" s="39" t="s">
        <v>89</v>
      </c>
    </row>
    <row r="174" spans="1:9" x14ac:dyDescent="0.3">
      <c r="A174" t="s">
        <v>337</v>
      </c>
      <c r="B174" t="s">
        <v>346</v>
      </c>
      <c r="C174" t="s">
        <v>347</v>
      </c>
      <c r="D174" t="s">
        <v>819</v>
      </c>
      <c r="E174" t="s">
        <v>820</v>
      </c>
      <c r="F174" s="39" t="s">
        <v>419</v>
      </c>
      <c r="G174" t="s">
        <v>434</v>
      </c>
      <c r="H174" s="39">
        <v>0</v>
      </c>
      <c r="I174" s="39" t="s">
        <v>89</v>
      </c>
    </row>
    <row r="175" spans="1:9" x14ac:dyDescent="0.3">
      <c r="A175" t="s">
        <v>82</v>
      </c>
      <c r="B175" t="s">
        <v>821</v>
      </c>
      <c r="C175" t="s">
        <v>822</v>
      </c>
      <c r="D175" t="s">
        <v>823</v>
      </c>
      <c r="E175" t="s">
        <v>824</v>
      </c>
      <c r="F175" s="39" t="s">
        <v>419</v>
      </c>
      <c r="G175" t="s">
        <v>437</v>
      </c>
      <c r="H175" s="39">
        <v>0</v>
      </c>
      <c r="I175" s="39" t="s">
        <v>89</v>
      </c>
    </row>
    <row r="176" spans="1:9" x14ac:dyDescent="0.3">
      <c r="A176" t="s">
        <v>82</v>
      </c>
      <c r="B176" t="s">
        <v>821</v>
      </c>
      <c r="C176" t="s">
        <v>822</v>
      </c>
      <c r="D176" t="s">
        <v>825</v>
      </c>
      <c r="E176" t="s">
        <v>826</v>
      </c>
      <c r="F176" s="39" t="s">
        <v>419</v>
      </c>
      <c r="G176" t="s">
        <v>565</v>
      </c>
      <c r="H176" s="39">
        <v>0</v>
      </c>
      <c r="I176" s="39" t="s">
        <v>89</v>
      </c>
    </row>
    <row r="177" spans="1:9" x14ac:dyDescent="0.3">
      <c r="A177" t="s">
        <v>82</v>
      </c>
      <c r="B177" t="s">
        <v>821</v>
      </c>
      <c r="C177" t="s">
        <v>822</v>
      </c>
      <c r="D177" t="s">
        <v>827</v>
      </c>
      <c r="E177" t="s">
        <v>828</v>
      </c>
      <c r="F177" s="39" t="s">
        <v>419</v>
      </c>
      <c r="G177" t="s">
        <v>428</v>
      </c>
      <c r="H177" s="39">
        <v>0</v>
      </c>
      <c r="I177" s="39" t="s">
        <v>89</v>
      </c>
    </row>
    <row r="178" spans="1:9" x14ac:dyDescent="0.3">
      <c r="A178" t="s">
        <v>193</v>
      </c>
      <c r="B178" t="s">
        <v>365</v>
      </c>
      <c r="C178" t="s">
        <v>366</v>
      </c>
      <c r="D178" t="s">
        <v>829</v>
      </c>
      <c r="E178" t="s">
        <v>830</v>
      </c>
      <c r="F178" s="39" t="s">
        <v>419</v>
      </c>
      <c r="G178" t="s">
        <v>428</v>
      </c>
      <c r="H178" s="39">
        <v>0</v>
      </c>
      <c r="I178" s="39" t="s">
        <v>90</v>
      </c>
    </row>
    <row r="179" spans="1:9" x14ac:dyDescent="0.3">
      <c r="A179" t="s">
        <v>193</v>
      </c>
      <c r="B179" t="s">
        <v>365</v>
      </c>
      <c r="C179" t="s">
        <v>366</v>
      </c>
      <c r="D179" t="s">
        <v>831</v>
      </c>
      <c r="E179" t="s">
        <v>832</v>
      </c>
      <c r="F179" s="39" t="s">
        <v>419</v>
      </c>
      <c r="G179" t="s">
        <v>833</v>
      </c>
      <c r="H179" s="39">
        <v>0</v>
      </c>
      <c r="I179" s="39" t="s">
        <v>89</v>
      </c>
    </row>
    <row r="180" spans="1:9" x14ac:dyDescent="0.3">
      <c r="A180" t="s">
        <v>193</v>
      </c>
      <c r="B180" t="s">
        <v>365</v>
      </c>
      <c r="C180" t="s">
        <v>366</v>
      </c>
      <c r="D180" t="s">
        <v>834</v>
      </c>
      <c r="E180" t="s">
        <v>835</v>
      </c>
      <c r="F180" s="39" t="s">
        <v>419</v>
      </c>
      <c r="G180" t="s">
        <v>684</v>
      </c>
      <c r="H180" s="39">
        <v>0</v>
      </c>
      <c r="I180" s="39" t="s">
        <v>89</v>
      </c>
    </row>
    <row r="181" spans="1:9" x14ac:dyDescent="0.3">
      <c r="A181" t="s">
        <v>193</v>
      </c>
      <c r="B181" t="s">
        <v>365</v>
      </c>
      <c r="C181" t="s">
        <v>366</v>
      </c>
      <c r="D181" t="s">
        <v>836</v>
      </c>
      <c r="E181" t="s">
        <v>837</v>
      </c>
      <c r="F181" s="39" t="s">
        <v>419</v>
      </c>
      <c r="G181" t="s">
        <v>452</v>
      </c>
      <c r="H181" s="39">
        <v>0</v>
      </c>
      <c r="I181" s="39" t="s">
        <v>89</v>
      </c>
    </row>
    <row r="182" spans="1:9" x14ac:dyDescent="0.3">
      <c r="A182" t="s">
        <v>193</v>
      </c>
      <c r="B182" t="s">
        <v>365</v>
      </c>
      <c r="C182" t="s">
        <v>366</v>
      </c>
      <c r="D182" t="s">
        <v>838</v>
      </c>
      <c r="E182" t="s">
        <v>839</v>
      </c>
      <c r="F182" s="39" t="s">
        <v>419</v>
      </c>
      <c r="G182" t="s">
        <v>428</v>
      </c>
      <c r="H182" s="39">
        <v>0</v>
      </c>
      <c r="I182" s="39" t="s">
        <v>89</v>
      </c>
    </row>
    <row r="183" spans="1:9" x14ac:dyDescent="0.3">
      <c r="A183" t="s">
        <v>337</v>
      </c>
      <c r="B183" t="s">
        <v>371</v>
      </c>
      <c r="C183" t="s">
        <v>372</v>
      </c>
      <c r="D183" t="s">
        <v>840</v>
      </c>
      <c r="E183" t="s">
        <v>841</v>
      </c>
      <c r="F183" s="39" t="s">
        <v>419</v>
      </c>
      <c r="G183" t="s">
        <v>510</v>
      </c>
      <c r="H183" s="39">
        <v>0</v>
      </c>
      <c r="I183" s="39" t="s">
        <v>89</v>
      </c>
    </row>
    <row r="184" spans="1:9" x14ac:dyDescent="0.3">
      <c r="A184" t="s">
        <v>337</v>
      </c>
      <c r="B184" t="s">
        <v>371</v>
      </c>
      <c r="C184" t="s">
        <v>372</v>
      </c>
      <c r="D184" t="s">
        <v>842</v>
      </c>
      <c r="E184" t="s">
        <v>843</v>
      </c>
      <c r="F184" s="39" t="s">
        <v>419</v>
      </c>
      <c r="G184" t="s">
        <v>654</v>
      </c>
      <c r="H184" s="39">
        <v>0</v>
      </c>
      <c r="I184" s="39" t="s">
        <v>89</v>
      </c>
    </row>
    <row r="185" spans="1:9" x14ac:dyDescent="0.3">
      <c r="A185" t="s">
        <v>337</v>
      </c>
      <c r="B185" t="s">
        <v>371</v>
      </c>
      <c r="C185" t="s">
        <v>372</v>
      </c>
      <c r="D185" t="s">
        <v>844</v>
      </c>
      <c r="E185" t="s">
        <v>845</v>
      </c>
      <c r="F185" s="39" t="s">
        <v>419</v>
      </c>
      <c r="G185" t="s">
        <v>846</v>
      </c>
      <c r="H185" s="39">
        <v>0</v>
      </c>
      <c r="I185" s="39" t="s">
        <v>89</v>
      </c>
    </row>
    <row r="186" spans="1:9" x14ac:dyDescent="0.3">
      <c r="A186" t="s">
        <v>337</v>
      </c>
      <c r="B186" t="s">
        <v>371</v>
      </c>
      <c r="C186" t="s">
        <v>372</v>
      </c>
      <c r="D186" t="s">
        <v>847</v>
      </c>
      <c r="E186" t="s">
        <v>848</v>
      </c>
      <c r="F186" s="39" t="s">
        <v>419</v>
      </c>
      <c r="G186" t="s">
        <v>678</v>
      </c>
      <c r="H186" s="39">
        <v>0</v>
      </c>
      <c r="I186" s="39" t="s">
        <v>89</v>
      </c>
    </row>
    <row r="187" spans="1:9" x14ac:dyDescent="0.3">
      <c r="A187" t="s">
        <v>337</v>
      </c>
      <c r="B187" t="s">
        <v>371</v>
      </c>
      <c r="C187" t="s">
        <v>372</v>
      </c>
      <c r="D187" t="s">
        <v>849</v>
      </c>
      <c r="E187" t="s">
        <v>850</v>
      </c>
      <c r="F187" s="39" t="s">
        <v>419</v>
      </c>
      <c r="G187" t="s">
        <v>437</v>
      </c>
      <c r="H187" s="39">
        <v>0</v>
      </c>
      <c r="I187" s="39" t="s">
        <v>89</v>
      </c>
    </row>
    <row r="188" spans="1:9" x14ac:dyDescent="0.3">
      <c r="A188" t="s">
        <v>337</v>
      </c>
      <c r="B188" t="s">
        <v>371</v>
      </c>
      <c r="C188" t="s">
        <v>372</v>
      </c>
      <c r="D188" t="s">
        <v>851</v>
      </c>
      <c r="E188" t="s">
        <v>852</v>
      </c>
      <c r="F188" s="39" t="s">
        <v>419</v>
      </c>
      <c r="G188" t="s">
        <v>428</v>
      </c>
      <c r="H188" s="39">
        <v>0</v>
      </c>
      <c r="I188" s="39" t="s">
        <v>89</v>
      </c>
    </row>
    <row r="189" spans="1:9" x14ac:dyDescent="0.3">
      <c r="A189" t="s">
        <v>337</v>
      </c>
      <c r="B189" t="s">
        <v>371</v>
      </c>
      <c r="C189" t="s">
        <v>372</v>
      </c>
      <c r="D189" t="s">
        <v>853</v>
      </c>
      <c r="E189" t="s">
        <v>854</v>
      </c>
      <c r="F189" s="39" t="s">
        <v>419</v>
      </c>
      <c r="G189" t="s">
        <v>463</v>
      </c>
      <c r="H189" s="39">
        <v>0</v>
      </c>
      <c r="I189" s="39" t="s">
        <v>89</v>
      </c>
    </row>
    <row r="190" spans="1:9" x14ac:dyDescent="0.3">
      <c r="A190" t="s">
        <v>337</v>
      </c>
      <c r="B190" t="s">
        <v>371</v>
      </c>
      <c r="C190" t="s">
        <v>372</v>
      </c>
      <c r="D190" t="s">
        <v>855</v>
      </c>
      <c r="E190" t="s">
        <v>856</v>
      </c>
      <c r="F190" s="39" t="s">
        <v>419</v>
      </c>
      <c r="G190" t="s">
        <v>787</v>
      </c>
      <c r="H190" s="39">
        <v>0</v>
      </c>
      <c r="I190" s="39" t="s">
        <v>89</v>
      </c>
    </row>
    <row r="191" spans="1:9" x14ac:dyDescent="0.3">
      <c r="A191" t="s">
        <v>337</v>
      </c>
      <c r="B191" t="s">
        <v>371</v>
      </c>
      <c r="C191" t="s">
        <v>372</v>
      </c>
      <c r="D191" t="s">
        <v>857</v>
      </c>
      <c r="E191" t="s">
        <v>858</v>
      </c>
      <c r="F191" s="39" t="s">
        <v>419</v>
      </c>
      <c r="G191" t="s">
        <v>859</v>
      </c>
      <c r="H191" s="39">
        <v>0</v>
      </c>
      <c r="I191" s="39" t="s">
        <v>89</v>
      </c>
    </row>
    <row r="192" spans="1:9" x14ac:dyDescent="0.3">
      <c r="A192" t="s">
        <v>337</v>
      </c>
      <c r="B192" t="s">
        <v>371</v>
      </c>
      <c r="C192" t="s">
        <v>372</v>
      </c>
      <c r="D192" t="s">
        <v>860</v>
      </c>
      <c r="E192" t="s">
        <v>861</v>
      </c>
      <c r="F192" s="39" t="s">
        <v>419</v>
      </c>
      <c r="G192" t="s">
        <v>437</v>
      </c>
      <c r="H192" s="39">
        <v>0</v>
      </c>
      <c r="I192" s="39" t="s">
        <v>89</v>
      </c>
    </row>
    <row r="193" spans="1:9" x14ac:dyDescent="0.3">
      <c r="A193" t="s">
        <v>337</v>
      </c>
      <c r="B193" t="s">
        <v>371</v>
      </c>
      <c r="C193" t="s">
        <v>372</v>
      </c>
      <c r="D193" t="s">
        <v>862</v>
      </c>
      <c r="E193" t="s">
        <v>863</v>
      </c>
      <c r="F193" s="39" t="s">
        <v>419</v>
      </c>
      <c r="G193" t="s">
        <v>437</v>
      </c>
      <c r="H193" s="39">
        <v>0</v>
      </c>
      <c r="I193" s="39" t="s">
        <v>89</v>
      </c>
    </row>
    <row r="194" spans="1:9" x14ac:dyDescent="0.3">
      <c r="A194" t="s">
        <v>337</v>
      </c>
      <c r="B194" t="s">
        <v>371</v>
      </c>
      <c r="C194" t="s">
        <v>372</v>
      </c>
      <c r="D194" t="s">
        <v>864</v>
      </c>
      <c r="E194" t="s">
        <v>114</v>
      </c>
      <c r="F194" s="39" t="s">
        <v>419</v>
      </c>
      <c r="G194" t="s">
        <v>444</v>
      </c>
      <c r="H194" s="39">
        <v>0</v>
      </c>
      <c r="I194" s="39" t="s">
        <v>89</v>
      </c>
    </row>
    <row r="195" spans="1:9" x14ac:dyDescent="0.3">
      <c r="A195" t="s">
        <v>337</v>
      </c>
      <c r="B195" t="s">
        <v>371</v>
      </c>
      <c r="C195" t="s">
        <v>372</v>
      </c>
      <c r="D195" t="s">
        <v>865</v>
      </c>
      <c r="E195" t="s">
        <v>866</v>
      </c>
      <c r="F195" s="39" t="s">
        <v>419</v>
      </c>
      <c r="G195" t="s">
        <v>492</v>
      </c>
      <c r="H195" s="39">
        <v>0</v>
      </c>
      <c r="I195" s="39" t="s">
        <v>89</v>
      </c>
    </row>
    <row r="196" spans="1:9" x14ac:dyDescent="0.3">
      <c r="A196" t="s">
        <v>337</v>
      </c>
      <c r="B196" t="s">
        <v>371</v>
      </c>
      <c r="C196" t="s">
        <v>372</v>
      </c>
      <c r="D196" t="s">
        <v>867</v>
      </c>
      <c r="E196" t="s">
        <v>868</v>
      </c>
      <c r="F196" s="39" t="s">
        <v>419</v>
      </c>
      <c r="G196" t="s">
        <v>510</v>
      </c>
      <c r="H196" s="39">
        <v>0</v>
      </c>
      <c r="I196" s="39" t="s">
        <v>89</v>
      </c>
    </row>
    <row r="197" spans="1:9" x14ac:dyDescent="0.3">
      <c r="A197" t="s">
        <v>337</v>
      </c>
      <c r="B197" t="s">
        <v>371</v>
      </c>
      <c r="C197" t="s">
        <v>372</v>
      </c>
      <c r="D197" t="s">
        <v>869</v>
      </c>
      <c r="E197" t="s">
        <v>870</v>
      </c>
      <c r="F197" s="39" t="s">
        <v>419</v>
      </c>
      <c r="G197" t="s">
        <v>606</v>
      </c>
      <c r="H197" s="39">
        <v>0</v>
      </c>
      <c r="I197" s="39" t="s">
        <v>89</v>
      </c>
    </row>
    <row r="198" spans="1:9" x14ac:dyDescent="0.3">
      <c r="A198" t="s">
        <v>238</v>
      </c>
      <c r="B198" t="s">
        <v>411</v>
      </c>
      <c r="C198" t="s">
        <v>412</v>
      </c>
      <c r="D198" t="s">
        <v>871</v>
      </c>
      <c r="E198" t="s">
        <v>872</v>
      </c>
      <c r="F198" s="39" t="s">
        <v>419</v>
      </c>
      <c r="G198" t="s">
        <v>437</v>
      </c>
      <c r="H198" s="39">
        <v>0</v>
      </c>
      <c r="I198" s="39" t="s">
        <v>89</v>
      </c>
    </row>
  </sheetData>
  <autoFilter ref="A1:I1" xr:uid="{27104B44-B362-4BCA-9C76-34F19D48A57D}">
    <sortState xmlns:xlrd2="http://schemas.microsoft.com/office/spreadsheetml/2017/richdata2" ref="A2:I198">
      <sortCondition ref="C1"/>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F150F-32C5-47B1-9C45-B9003C226470}">
  <sheetPr>
    <tabColor theme="3" tint="0.749992370372631"/>
  </sheetPr>
  <dimension ref="A1:Q28"/>
  <sheetViews>
    <sheetView zoomScaleNormal="100" workbookViewId="0">
      <pane ySplit="1" topLeftCell="A10" activePane="bottomLeft" state="frozen"/>
      <selection pane="bottomLeft" activeCell="N2" sqref="N2:N12"/>
    </sheetView>
  </sheetViews>
  <sheetFormatPr defaultColWidth="9.109375" defaultRowHeight="14.4" x14ac:dyDescent="0.3"/>
  <cols>
    <col min="1" max="10" width="12.6640625" style="1" customWidth="1"/>
    <col min="11" max="12" width="12.6640625" style="42" customWidth="1"/>
    <col min="13" max="13" width="12.6640625" style="40" customWidth="1"/>
    <col min="14" max="14" width="12.6640625" style="35" customWidth="1"/>
    <col min="15" max="17" width="12.6640625" style="1" customWidth="1"/>
    <col min="18" max="16384" width="9.109375" style="1"/>
  </cols>
  <sheetData>
    <row r="1" spans="1:17" ht="57.6" x14ac:dyDescent="0.3">
      <c r="A1" s="6" t="s">
        <v>21</v>
      </c>
      <c r="B1" s="6" t="s">
        <v>22</v>
      </c>
      <c r="C1" s="6" t="s">
        <v>873</v>
      </c>
      <c r="D1" s="6" t="s">
        <v>874</v>
      </c>
      <c r="E1" s="6" t="s">
        <v>875</v>
      </c>
      <c r="F1" s="6" t="s">
        <v>876</v>
      </c>
      <c r="G1" s="6" t="s">
        <v>877</v>
      </c>
      <c r="H1" s="6" t="s">
        <v>878</v>
      </c>
      <c r="I1" s="6" t="s">
        <v>879</v>
      </c>
      <c r="J1" s="6" t="s">
        <v>880</v>
      </c>
      <c r="K1" s="41" t="s">
        <v>881</v>
      </c>
      <c r="L1" s="41" t="s">
        <v>882</v>
      </c>
      <c r="M1" s="43" t="s">
        <v>883</v>
      </c>
      <c r="N1" s="32" t="s">
        <v>884</v>
      </c>
      <c r="O1" s="6" t="s">
        <v>885</v>
      </c>
      <c r="P1" s="6" t="s">
        <v>886</v>
      </c>
      <c r="Q1" s="6" t="s">
        <v>887</v>
      </c>
    </row>
    <row r="2" spans="1:17" ht="86.4" x14ac:dyDescent="0.3">
      <c r="A2" s="1" t="s">
        <v>37</v>
      </c>
      <c r="B2" s="1">
        <v>56400</v>
      </c>
      <c r="C2" s="1">
        <v>80</v>
      </c>
      <c r="D2" s="1" t="s">
        <v>888</v>
      </c>
      <c r="E2" s="1" t="s">
        <v>889</v>
      </c>
      <c r="F2" s="7">
        <v>0.91</v>
      </c>
      <c r="G2" s="7">
        <v>0.44</v>
      </c>
      <c r="H2" s="7">
        <v>0.1</v>
      </c>
      <c r="I2" s="1" t="s">
        <v>890</v>
      </c>
      <c r="J2" s="8">
        <v>-2.5000000000000001E-2</v>
      </c>
      <c r="K2" s="42">
        <v>10</v>
      </c>
      <c r="L2" s="42">
        <v>13</v>
      </c>
      <c r="M2" s="40">
        <f>((K2*2)+(L2*1))/C2</f>
        <v>0.41249999999999998</v>
      </c>
      <c r="N2" s="35">
        <f>IF(M2&gt;=0.39,5,IF(M2&gt;=0.19,4,IF(M2&gt;=0.1,3,IF(M2&gt;=0.04,2,1))))</f>
        <v>5</v>
      </c>
      <c r="O2" s="9" t="s">
        <v>891</v>
      </c>
      <c r="P2" s="9" t="s">
        <v>892</v>
      </c>
    </row>
    <row r="3" spans="1:17" ht="129.6" x14ac:dyDescent="0.3">
      <c r="A3" s="1" t="s">
        <v>40</v>
      </c>
      <c r="B3" s="1">
        <v>53300</v>
      </c>
      <c r="C3" s="1">
        <v>74</v>
      </c>
      <c r="D3" s="1" t="s">
        <v>888</v>
      </c>
      <c r="E3" s="1" t="s">
        <v>893</v>
      </c>
      <c r="F3" s="7">
        <v>0.75</v>
      </c>
      <c r="G3" s="7">
        <v>0.31</v>
      </c>
      <c r="H3" s="7">
        <v>0.11</v>
      </c>
      <c r="I3" s="1" t="s">
        <v>894</v>
      </c>
      <c r="J3" s="8">
        <v>-2.5999999999999999E-2</v>
      </c>
      <c r="K3" s="42">
        <v>8</v>
      </c>
      <c r="L3" s="42">
        <v>17</v>
      </c>
      <c r="M3" s="40">
        <f t="shared" ref="M3:M28" si="0">((K3*2)+(L3*1))/C3</f>
        <v>0.44594594594594594</v>
      </c>
      <c r="N3" s="35">
        <f t="shared" ref="N3:N28" si="1">IF(M3&gt;=0.39,5,IF(M3&gt;=0.19,4,IF(M3&gt;=0.1,3,IF(M3&gt;=0.04,2,1))))</f>
        <v>5</v>
      </c>
      <c r="O3" s="10" t="s">
        <v>895</v>
      </c>
      <c r="P3" s="9" t="s">
        <v>896</v>
      </c>
    </row>
    <row r="4" spans="1:17" ht="28.8" x14ac:dyDescent="0.3">
      <c r="A4" s="1" t="s">
        <v>41</v>
      </c>
      <c r="B4" s="1">
        <v>74000</v>
      </c>
      <c r="C4" s="1">
        <v>130</v>
      </c>
      <c r="D4" s="1" t="s">
        <v>888</v>
      </c>
      <c r="E4" s="1" t="s">
        <v>893</v>
      </c>
      <c r="F4" s="7">
        <v>0.52</v>
      </c>
      <c r="G4" s="7">
        <v>0.28000000000000003</v>
      </c>
      <c r="H4" s="7">
        <v>0.11</v>
      </c>
      <c r="I4" s="1" t="s">
        <v>897</v>
      </c>
      <c r="J4" s="8">
        <v>-8.0000000000000002E-3</v>
      </c>
      <c r="K4" s="42">
        <v>26</v>
      </c>
      <c r="L4" s="42">
        <v>14</v>
      </c>
      <c r="M4" s="40">
        <f t="shared" si="0"/>
        <v>0.50769230769230766</v>
      </c>
      <c r="N4" s="35">
        <f t="shared" si="1"/>
        <v>5</v>
      </c>
      <c r="O4" s="10" t="s">
        <v>898</v>
      </c>
    </row>
    <row r="5" spans="1:17" ht="43.2" x14ac:dyDescent="0.3">
      <c r="A5" s="1" t="s">
        <v>42</v>
      </c>
      <c r="B5" s="1">
        <v>41000</v>
      </c>
      <c r="C5" s="1">
        <v>60</v>
      </c>
      <c r="D5" s="1" t="s">
        <v>888</v>
      </c>
      <c r="E5" s="1" t="s">
        <v>893</v>
      </c>
      <c r="F5" s="7">
        <v>0.95</v>
      </c>
      <c r="G5" s="7">
        <v>0.4</v>
      </c>
      <c r="H5" s="7">
        <v>0.2</v>
      </c>
      <c r="I5" s="1" t="s">
        <v>899</v>
      </c>
      <c r="J5" s="8">
        <v>-2.5000000000000001E-2</v>
      </c>
      <c r="K5" s="42">
        <v>0</v>
      </c>
      <c r="L5" s="42">
        <v>3</v>
      </c>
      <c r="M5" s="40">
        <f t="shared" si="0"/>
        <v>0.05</v>
      </c>
      <c r="N5" s="35">
        <f t="shared" si="1"/>
        <v>2</v>
      </c>
      <c r="O5" s="10" t="s">
        <v>900</v>
      </c>
      <c r="P5" s="9"/>
    </row>
    <row r="6" spans="1:17" ht="28.8" x14ac:dyDescent="0.3">
      <c r="A6" s="1" t="s">
        <v>43</v>
      </c>
      <c r="B6" s="1">
        <v>72000</v>
      </c>
      <c r="C6" s="1">
        <v>70</v>
      </c>
      <c r="D6" s="1" t="s">
        <v>888</v>
      </c>
      <c r="E6" s="1" t="s">
        <v>889</v>
      </c>
      <c r="F6" s="7">
        <v>0.44</v>
      </c>
      <c r="G6" s="7">
        <v>0.2</v>
      </c>
      <c r="H6" s="7">
        <v>0.15</v>
      </c>
      <c r="I6" s="1" t="s">
        <v>901</v>
      </c>
      <c r="J6" s="8">
        <v>8.0000000000000002E-3</v>
      </c>
      <c r="K6" s="42">
        <v>1</v>
      </c>
      <c r="L6" s="42">
        <v>2</v>
      </c>
      <c r="M6" s="40">
        <f t="shared" si="0"/>
        <v>5.7142857142857141E-2</v>
      </c>
      <c r="N6" s="35">
        <f t="shared" si="1"/>
        <v>2</v>
      </c>
      <c r="O6" s="9" t="s">
        <v>902</v>
      </c>
    </row>
    <row r="7" spans="1:17" ht="57.6" x14ac:dyDescent="0.3">
      <c r="A7" s="1" t="s">
        <v>44</v>
      </c>
      <c r="B7" s="1">
        <v>114000</v>
      </c>
      <c r="C7" s="1">
        <v>90</v>
      </c>
      <c r="D7" s="1" t="s">
        <v>888</v>
      </c>
      <c r="E7" s="1" t="s">
        <v>889</v>
      </c>
      <c r="F7" s="7">
        <v>0.57999999999999996</v>
      </c>
      <c r="G7" s="7">
        <v>0.21</v>
      </c>
      <c r="H7" s="7">
        <v>0.15</v>
      </c>
      <c r="I7" s="1" t="s">
        <v>903</v>
      </c>
      <c r="J7" s="8">
        <v>-5.0000000000000001E-3</v>
      </c>
      <c r="K7" s="42">
        <v>0</v>
      </c>
      <c r="L7" s="42">
        <v>9</v>
      </c>
      <c r="M7" s="40">
        <f t="shared" si="0"/>
        <v>0.1</v>
      </c>
      <c r="N7" s="35">
        <f t="shared" si="1"/>
        <v>3</v>
      </c>
      <c r="O7" s="9" t="s">
        <v>904</v>
      </c>
    </row>
    <row r="8" spans="1:17" ht="129.6" x14ac:dyDescent="0.3">
      <c r="A8" s="1" t="s">
        <v>45</v>
      </c>
      <c r="B8" s="1">
        <v>135000</v>
      </c>
      <c r="C8" s="1">
        <v>237</v>
      </c>
      <c r="D8" s="1" t="s">
        <v>888</v>
      </c>
      <c r="E8" s="1" t="s">
        <v>893</v>
      </c>
      <c r="F8" s="7">
        <v>0.82</v>
      </c>
      <c r="G8" s="7">
        <v>0.48</v>
      </c>
      <c r="H8" s="7">
        <v>0.13</v>
      </c>
      <c r="I8" s="1" t="s">
        <v>905</v>
      </c>
      <c r="J8" s="8">
        <v>4.0000000000000001E-3</v>
      </c>
      <c r="K8" s="42">
        <v>19</v>
      </c>
      <c r="L8" s="42">
        <v>12</v>
      </c>
      <c r="M8" s="40">
        <f t="shared" si="0"/>
        <v>0.2109704641350211</v>
      </c>
      <c r="N8" s="35">
        <f t="shared" si="1"/>
        <v>4</v>
      </c>
      <c r="O8" s="9" t="s">
        <v>906</v>
      </c>
      <c r="P8" s="1" t="s">
        <v>907</v>
      </c>
    </row>
    <row r="9" spans="1:17" ht="28.8" x14ac:dyDescent="0.3">
      <c r="A9" s="1" t="s">
        <v>46</v>
      </c>
      <c r="B9" s="1">
        <v>32000</v>
      </c>
      <c r="C9" s="1">
        <v>45</v>
      </c>
      <c r="D9" s="1" t="s">
        <v>888</v>
      </c>
      <c r="E9" s="1" t="s">
        <v>889</v>
      </c>
      <c r="F9" s="7">
        <v>0.49</v>
      </c>
      <c r="G9" s="7">
        <v>0.2</v>
      </c>
      <c r="H9" s="7">
        <v>0.18</v>
      </c>
      <c r="I9" s="1" t="s">
        <v>908</v>
      </c>
      <c r="J9" s="8">
        <v>1.4E-2</v>
      </c>
      <c r="K9" s="42">
        <v>1</v>
      </c>
      <c r="L9" s="42">
        <v>5</v>
      </c>
      <c r="M9" s="40">
        <f t="shared" si="0"/>
        <v>0.15555555555555556</v>
      </c>
      <c r="N9" s="35">
        <f t="shared" si="1"/>
        <v>3</v>
      </c>
      <c r="O9" s="9" t="s">
        <v>909</v>
      </c>
    </row>
    <row r="10" spans="1:17" ht="28.8" x14ac:dyDescent="0.3">
      <c r="A10" s="1" t="s">
        <v>47</v>
      </c>
      <c r="B10" s="1">
        <v>50000</v>
      </c>
      <c r="C10" s="1">
        <v>80</v>
      </c>
      <c r="D10" s="1" t="s">
        <v>888</v>
      </c>
      <c r="E10" s="1" t="s">
        <v>893</v>
      </c>
      <c r="F10" s="7">
        <v>0.69</v>
      </c>
      <c r="G10" s="7">
        <v>0.35</v>
      </c>
      <c r="H10" s="7">
        <v>0.16</v>
      </c>
      <c r="I10" s="1" t="s">
        <v>910</v>
      </c>
      <c r="J10" s="8">
        <v>-2.1000000000000001E-2</v>
      </c>
      <c r="K10" s="42">
        <v>8</v>
      </c>
      <c r="L10" s="42">
        <v>6</v>
      </c>
      <c r="M10" s="40">
        <f t="shared" si="0"/>
        <v>0.27500000000000002</v>
      </c>
      <c r="N10" s="35">
        <f t="shared" si="1"/>
        <v>4</v>
      </c>
      <c r="O10" s="9" t="s">
        <v>911</v>
      </c>
    </row>
    <row r="11" spans="1:17" ht="28.8" x14ac:dyDescent="0.3">
      <c r="A11" s="1" t="s">
        <v>48</v>
      </c>
      <c r="B11" s="1">
        <v>82000</v>
      </c>
      <c r="C11" s="1">
        <v>80</v>
      </c>
      <c r="D11" s="1" t="s">
        <v>888</v>
      </c>
      <c r="E11" s="1" t="s">
        <v>889</v>
      </c>
      <c r="F11" s="7">
        <v>0.48</v>
      </c>
      <c r="G11" s="7">
        <v>0.2</v>
      </c>
      <c r="H11" s="7">
        <v>0.16</v>
      </c>
      <c r="I11" s="1" t="s">
        <v>912</v>
      </c>
      <c r="J11" s="8">
        <v>-7.0000000000000001E-3</v>
      </c>
      <c r="K11" s="42">
        <v>2</v>
      </c>
      <c r="L11" s="42">
        <v>3</v>
      </c>
      <c r="M11" s="40">
        <f t="shared" si="0"/>
        <v>8.7499999999999994E-2</v>
      </c>
      <c r="N11" s="35">
        <f t="shared" si="1"/>
        <v>2</v>
      </c>
      <c r="O11" s="9" t="s">
        <v>913</v>
      </c>
    </row>
    <row r="12" spans="1:17" ht="28.8" x14ac:dyDescent="0.3">
      <c r="A12" s="1" t="s">
        <v>49</v>
      </c>
      <c r="B12" s="1">
        <v>72000</v>
      </c>
      <c r="C12" s="1">
        <v>140</v>
      </c>
      <c r="D12" s="1" t="s">
        <v>888</v>
      </c>
      <c r="E12" s="1" t="s">
        <v>893</v>
      </c>
      <c r="F12" s="7">
        <v>0.82</v>
      </c>
      <c r="G12" s="7">
        <v>0.4</v>
      </c>
      <c r="H12" s="7">
        <v>0.16</v>
      </c>
      <c r="I12" s="1" t="s">
        <v>914</v>
      </c>
      <c r="J12" s="8">
        <v>-8.9999999999999993E-3</v>
      </c>
      <c r="K12" s="42">
        <v>13</v>
      </c>
      <c r="L12" s="42">
        <v>29</v>
      </c>
      <c r="M12" s="40">
        <f t="shared" si="0"/>
        <v>0.39285714285714285</v>
      </c>
      <c r="N12" s="35">
        <f t="shared" si="1"/>
        <v>5</v>
      </c>
      <c r="O12" s="9" t="s">
        <v>913</v>
      </c>
    </row>
    <row r="13" spans="1:17" ht="28.8" x14ac:dyDescent="0.3">
      <c r="A13" s="1" t="s">
        <v>50</v>
      </c>
      <c r="B13" s="1">
        <v>67000</v>
      </c>
      <c r="C13" s="1">
        <v>75</v>
      </c>
      <c r="D13" s="1" t="s">
        <v>888</v>
      </c>
      <c r="E13" s="1" t="s">
        <v>889</v>
      </c>
      <c r="F13" s="7">
        <v>0.14000000000000001</v>
      </c>
      <c r="G13" s="7">
        <v>0.13</v>
      </c>
      <c r="H13" s="7">
        <v>0.13</v>
      </c>
      <c r="I13" s="1" t="s">
        <v>915</v>
      </c>
      <c r="J13" s="8">
        <v>-2.1000000000000001E-2</v>
      </c>
      <c r="K13" s="42">
        <v>0</v>
      </c>
      <c r="L13" s="42">
        <v>0</v>
      </c>
      <c r="M13" s="40">
        <f t="shared" si="0"/>
        <v>0</v>
      </c>
      <c r="N13" s="35">
        <f t="shared" si="1"/>
        <v>1</v>
      </c>
      <c r="O13" s="9" t="s">
        <v>916</v>
      </c>
    </row>
    <row r="14" spans="1:17" ht="28.8" x14ac:dyDescent="0.3">
      <c r="A14" s="1" t="s">
        <v>51</v>
      </c>
      <c r="B14" s="1">
        <v>52000</v>
      </c>
      <c r="C14" s="1">
        <v>70</v>
      </c>
      <c r="D14" s="1" t="s">
        <v>888</v>
      </c>
      <c r="E14" s="1" t="s">
        <v>893</v>
      </c>
      <c r="F14" s="7">
        <v>0.73</v>
      </c>
      <c r="G14" s="7">
        <v>0.37</v>
      </c>
      <c r="H14" s="7">
        <v>0.15</v>
      </c>
      <c r="I14" s="7" t="s">
        <v>897</v>
      </c>
      <c r="J14" s="8">
        <v>-1.2E-2</v>
      </c>
      <c r="K14" s="42">
        <v>1</v>
      </c>
      <c r="L14" s="42">
        <v>10</v>
      </c>
      <c r="M14" s="40">
        <f t="shared" si="0"/>
        <v>0.17142857142857143</v>
      </c>
      <c r="N14" s="35">
        <f t="shared" si="1"/>
        <v>3</v>
      </c>
      <c r="O14" s="9" t="s">
        <v>917</v>
      </c>
    </row>
    <row r="15" spans="1:17" ht="28.8" x14ac:dyDescent="0.3">
      <c r="A15" s="1" t="s">
        <v>52</v>
      </c>
      <c r="B15" s="1">
        <v>168000</v>
      </c>
      <c r="C15" s="1">
        <v>280</v>
      </c>
      <c r="D15" s="1" t="s">
        <v>888</v>
      </c>
      <c r="E15" s="1" t="s">
        <v>893</v>
      </c>
      <c r="F15" s="7">
        <v>0.77</v>
      </c>
      <c r="G15" s="7">
        <v>0.37</v>
      </c>
      <c r="H15" s="7">
        <v>0.13</v>
      </c>
      <c r="I15" s="1" t="s">
        <v>918</v>
      </c>
      <c r="J15" s="7">
        <v>-0.04</v>
      </c>
      <c r="K15" s="42">
        <v>6</v>
      </c>
      <c r="L15" s="42">
        <v>17</v>
      </c>
      <c r="M15" s="40">
        <f t="shared" si="0"/>
        <v>0.10357142857142858</v>
      </c>
      <c r="N15" s="35">
        <f t="shared" si="1"/>
        <v>3</v>
      </c>
      <c r="O15" s="9" t="s">
        <v>919</v>
      </c>
    </row>
    <row r="16" spans="1:17" ht="28.8" x14ac:dyDescent="0.3">
      <c r="A16" s="1" t="s">
        <v>53</v>
      </c>
      <c r="B16" s="1">
        <v>87000</v>
      </c>
      <c r="C16" s="1">
        <v>140</v>
      </c>
      <c r="D16" s="1" t="s">
        <v>888</v>
      </c>
      <c r="E16" s="1" t="s">
        <v>893</v>
      </c>
      <c r="F16" s="7">
        <v>0.82</v>
      </c>
      <c r="G16" s="7">
        <v>0.44</v>
      </c>
      <c r="H16" s="7">
        <v>0.12</v>
      </c>
      <c r="I16" s="1" t="s">
        <v>920</v>
      </c>
      <c r="J16" s="8">
        <v>3.4000000000000002E-2</v>
      </c>
      <c r="K16" s="42">
        <v>6</v>
      </c>
      <c r="L16" s="42">
        <v>0</v>
      </c>
      <c r="M16" s="40">
        <f t="shared" si="0"/>
        <v>8.5714285714285715E-2</v>
      </c>
      <c r="N16" s="35">
        <f t="shared" si="1"/>
        <v>2</v>
      </c>
      <c r="O16" s="9" t="s">
        <v>921</v>
      </c>
    </row>
    <row r="17" spans="1:15" ht="28.8" x14ac:dyDescent="0.3">
      <c r="A17" s="1" t="s">
        <v>54</v>
      </c>
      <c r="B17" s="1">
        <v>35000</v>
      </c>
      <c r="C17" s="1">
        <v>40</v>
      </c>
      <c r="D17" s="1" t="s">
        <v>888</v>
      </c>
      <c r="E17" s="1" t="s">
        <v>893</v>
      </c>
      <c r="F17" s="7">
        <v>0.85</v>
      </c>
      <c r="G17" s="7">
        <v>0.57999999999999996</v>
      </c>
      <c r="H17" s="7">
        <v>0.14000000000000001</v>
      </c>
      <c r="I17" s="1" t="s">
        <v>922</v>
      </c>
      <c r="J17" s="8">
        <v>-2.3E-2</v>
      </c>
      <c r="K17" s="42">
        <v>6</v>
      </c>
      <c r="L17" s="42">
        <v>8</v>
      </c>
      <c r="M17" s="40">
        <f t="shared" si="0"/>
        <v>0.5</v>
      </c>
      <c r="N17" s="35">
        <f t="shared" si="1"/>
        <v>5</v>
      </c>
      <c r="O17" s="9" t="s">
        <v>923</v>
      </c>
    </row>
    <row r="18" spans="1:15" ht="28.8" x14ac:dyDescent="0.3">
      <c r="A18" s="1" t="s">
        <v>55</v>
      </c>
      <c r="B18" s="1">
        <v>95000</v>
      </c>
      <c r="C18" s="1">
        <v>70</v>
      </c>
      <c r="D18" s="1" t="s">
        <v>888</v>
      </c>
      <c r="E18" s="1" t="s">
        <v>889</v>
      </c>
      <c r="F18" s="7">
        <v>0.43</v>
      </c>
      <c r="G18" s="7">
        <v>0.24</v>
      </c>
      <c r="H18" s="7">
        <v>0.19</v>
      </c>
      <c r="I18" s="1" t="s">
        <v>908</v>
      </c>
      <c r="J18" s="8">
        <v>1.4E-2</v>
      </c>
      <c r="K18" s="42">
        <v>0</v>
      </c>
      <c r="L18" s="42">
        <v>2</v>
      </c>
      <c r="M18" s="40">
        <f t="shared" si="0"/>
        <v>2.8571428571428571E-2</v>
      </c>
      <c r="N18" s="35">
        <f t="shared" si="1"/>
        <v>1</v>
      </c>
      <c r="O18" s="9" t="s">
        <v>924</v>
      </c>
    </row>
    <row r="19" spans="1:15" ht="28.8" x14ac:dyDescent="0.3">
      <c r="A19" s="1" t="s">
        <v>56</v>
      </c>
      <c r="B19" s="1">
        <v>54000</v>
      </c>
      <c r="C19" s="1">
        <v>50</v>
      </c>
      <c r="D19" s="1" t="s">
        <v>888</v>
      </c>
      <c r="E19" s="1" t="s">
        <v>889</v>
      </c>
      <c r="F19" s="7">
        <v>0.55000000000000004</v>
      </c>
      <c r="G19" s="7">
        <v>0.22</v>
      </c>
      <c r="H19" s="7">
        <v>0.17</v>
      </c>
      <c r="I19" s="1" t="s">
        <v>925</v>
      </c>
      <c r="J19" s="8">
        <v>-1.2E-2</v>
      </c>
      <c r="K19" s="42">
        <v>0</v>
      </c>
      <c r="L19" s="42">
        <v>1</v>
      </c>
      <c r="M19" s="40">
        <f t="shared" si="0"/>
        <v>0.02</v>
      </c>
      <c r="N19" s="35">
        <f t="shared" si="1"/>
        <v>1</v>
      </c>
      <c r="O19" s="9" t="s">
        <v>926</v>
      </c>
    </row>
    <row r="20" spans="1:15" ht="43.2" x14ac:dyDescent="0.3">
      <c r="A20" s="1" t="s">
        <v>57</v>
      </c>
      <c r="B20" s="1">
        <v>43000</v>
      </c>
      <c r="C20" s="1">
        <v>45</v>
      </c>
      <c r="D20" s="1" t="s">
        <v>888</v>
      </c>
      <c r="E20" s="1" t="s">
        <v>889</v>
      </c>
      <c r="F20" s="7">
        <v>0.43</v>
      </c>
      <c r="G20" s="7">
        <v>0.22</v>
      </c>
      <c r="H20" s="7">
        <v>0.16</v>
      </c>
      <c r="I20" s="1" t="s">
        <v>927</v>
      </c>
      <c r="J20" s="8">
        <v>5.0999999999999997E-2</v>
      </c>
      <c r="K20" s="42">
        <v>0</v>
      </c>
      <c r="L20" s="42">
        <v>2</v>
      </c>
      <c r="M20" s="40">
        <f t="shared" si="0"/>
        <v>4.4444444444444446E-2</v>
      </c>
      <c r="N20" s="35">
        <f t="shared" si="1"/>
        <v>2</v>
      </c>
      <c r="O20" s="9" t="s">
        <v>928</v>
      </c>
    </row>
    <row r="21" spans="1:15" ht="28.8" x14ac:dyDescent="0.3">
      <c r="A21" s="1" t="s">
        <v>58</v>
      </c>
      <c r="B21" s="1">
        <v>23000</v>
      </c>
      <c r="C21" s="1">
        <v>30</v>
      </c>
      <c r="D21" s="1" t="s">
        <v>888</v>
      </c>
      <c r="E21" s="1" t="s">
        <v>893</v>
      </c>
      <c r="F21" s="7">
        <v>0.97</v>
      </c>
      <c r="G21" s="7">
        <v>0.5</v>
      </c>
      <c r="H21" s="7">
        <v>0.14000000000000001</v>
      </c>
      <c r="I21" s="7" t="s">
        <v>929</v>
      </c>
      <c r="J21" s="8">
        <v>-1.6E-2</v>
      </c>
      <c r="K21" s="42">
        <v>0</v>
      </c>
      <c r="L21" s="42">
        <v>0</v>
      </c>
      <c r="M21" s="40">
        <f t="shared" si="0"/>
        <v>0</v>
      </c>
      <c r="N21" s="35">
        <f t="shared" si="1"/>
        <v>1</v>
      </c>
      <c r="O21" s="9" t="s">
        <v>930</v>
      </c>
    </row>
    <row r="22" spans="1:15" ht="43.2" x14ac:dyDescent="0.3">
      <c r="A22" s="1" t="s">
        <v>59</v>
      </c>
      <c r="B22" s="1">
        <v>20000</v>
      </c>
      <c r="C22" s="1">
        <v>30</v>
      </c>
      <c r="D22" s="1" t="s">
        <v>888</v>
      </c>
      <c r="E22" s="1" t="s">
        <v>893</v>
      </c>
      <c r="F22" s="7">
        <v>0.68</v>
      </c>
      <c r="G22" s="7">
        <v>0.3</v>
      </c>
      <c r="H22" s="7">
        <v>0.19</v>
      </c>
      <c r="I22" s="1" t="s">
        <v>931</v>
      </c>
      <c r="J22" s="7">
        <v>-0.01</v>
      </c>
      <c r="K22" s="42">
        <v>0</v>
      </c>
      <c r="L22" s="42">
        <v>0</v>
      </c>
      <c r="M22" s="40">
        <f t="shared" si="0"/>
        <v>0</v>
      </c>
      <c r="N22" s="35">
        <f t="shared" si="1"/>
        <v>1</v>
      </c>
      <c r="O22" s="9" t="s">
        <v>932</v>
      </c>
    </row>
    <row r="23" spans="1:15" ht="28.8" x14ac:dyDescent="0.3">
      <c r="A23" s="1" t="s">
        <v>60</v>
      </c>
      <c r="B23" s="1">
        <v>60000</v>
      </c>
      <c r="C23" s="1">
        <v>70</v>
      </c>
      <c r="D23" s="1" t="s">
        <v>888</v>
      </c>
      <c r="E23" s="1" t="s">
        <v>893</v>
      </c>
      <c r="F23" s="7">
        <v>0.51</v>
      </c>
      <c r="G23" s="7">
        <v>0.2</v>
      </c>
      <c r="H23" s="7">
        <v>0.18</v>
      </c>
      <c r="I23" s="1" t="s">
        <v>890</v>
      </c>
      <c r="J23" s="8">
        <v>-1.7000000000000001E-2</v>
      </c>
      <c r="K23" s="42">
        <v>3</v>
      </c>
      <c r="L23" s="42">
        <v>12</v>
      </c>
      <c r="M23" s="40">
        <f t="shared" si="0"/>
        <v>0.25714285714285712</v>
      </c>
      <c r="N23" s="35">
        <f t="shared" si="1"/>
        <v>4</v>
      </c>
      <c r="O23" s="9" t="s">
        <v>933</v>
      </c>
    </row>
    <row r="24" spans="1:15" ht="43.2" x14ac:dyDescent="0.3">
      <c r="A24" s="1" t="s">
        <v>61</v>
      </c>
      <c r="B24" s="1">
        <v>100000</v>
      </c>
      <c r="C24" s="1">
        <v>120</v>
      </c>
      <c r="D24" s="1" t="s">
        <v>888</v>
      </c>
      <c r="E24" s="1" t="s">
        <v>893</v>
      </c>
      <c r="F24" s="7">
        <v>0.51</v>
      </c>
      <c r="G24" s="7">
        <v>0.12</v>
      </c>
      <c r="H24" s="7">
        <v>0.18</v>
      </c>
      <c r="I24" s="1" t="s">
        <v>934</v>
      </c>
      <c r="J24" s="8">
        <v>-8.9999999999999993E-3</v>
      </c>
      <c r="K24" s="42">
        <v>8</v>
      </c>
      <c r="L24" s="42">
        <v>7</v>
      </c>
      <c r="M24" s="40">
        <f t="shared" si="0"/>
        <v>0.19166666666666668</v>
      </c>
      <c r="N24" s="35">
        <f t="shared" si="1"/>
        <v>4</v>
      </c>
      <c r="O24" s="9" t="s">
        <v>935</v>
      </c>
    </row>
    <row r="25" spans="1:15" ht="43.2" x14ac:dyDescent="0.3">
      <c r="A25" s="1" t="s">
        <v>62</v>
      </c>
      <c r="B25" s="1">
        <v>54000</v>
      </c>
      <c r="C25" s="1">
        <v>60</v>
      </c>
      <c r="D25" s="1" t="s">
        <v>888</v>
      </c>
      <c r="E25" s="1" t="s">
        <v>893</v>
      </c>
      <c r="F25" s="7">
        <v>0.8</v>
      </c>
      <c r="G25" s="7">
        <v>0.37</v>
      </c>
      <c r="H25" s="7">
        <v>0.16</v>
      </c>
      <c r="I25" s="1" t="s">
        <v>936</v>
      </c>
      <c r="J25" s="8">
        <v>-2.1000000000000001E-2</v>
      </c>
      <c r="K25" s="42">
        <v>0</v>
      </c>
      <c r="L25" s="42">
        <v>3</v>
      </c>
      <c r="M25" s="40">
        <f t="shared" si="0"/>
        <v>0.05</v>
      </c>
      <c r="N25" s="35">
        <f t="shared" si="1"/>
        <v>2</v>
      </c>
      <c r="O25" s="9" t="s">
        <v>937</v>
      </c>
    </row>
    <row r="26" spans="1:15" ht="28.8" x14ac:dyDescent="0.3">
      <c r="A26" s="1" t="s">
        <v>63</v>
      </c>
      <c r="B26" s="1">
        <v>47000</v>
      </c>
      <c r="C26" s="1">
        <v>70</v>
      </c>
      <c r="D26" s="1" t="s">
        <v>888</v>
      </c>
      <c r="E26" s="1" t="s">
        <v>889</v>
      </c>
      <c r="F26" s="7">
        <v>0.36</v>
      </c>
      <c r="G26" s="7">
        <v>0.26</v>
      </c>
      <c r="H26" s="7">
        <v>0.17</v>
      </c>
      <c r="I26" s="1" t="s">
        <v>938</v>
      </c>
      <c r="J26" s="8">
        <v>-2.7E-2</v>
      </c>
      <c r="K26" s="42">
        <v>2</v>
      </c>
      <c r="L26" s="42">
        <v>5</v>
      </c>
      <c r="M26" s="40">
        <f t="shared" si="0"/>
        <v>0.12857142857142856</v>
      </c>
      <c r="N26" s="35">
        <f t="shared" si="1"/>
        <v>3</v>
      </c>
      <c r="O26" s="9" t="s">
        <v>939</v>
      </c>
    </row>
    <row r="27" spans="1:15" ht="28.8" x14ac:dyDescent="0.3">
      <c r="A27" s="1" t="s">
        <v>64</v>
      </c>
      <c r="B27" s="1">
        <v>45000</v>
      </c>
      <c r="C27" s="1">
        <v>90</v>
      </c>
      <c r="D27" s="1" t="s">
        <v>888</v>
      </c>
      <c r="E27" s="1" t="s">
        <v>893</v>
      </c>
      <c r="F27" s="7">
        <v>0.87</v>
      </c>
      <c r="G27" s="7">
        <v>0.24</v>
      </c>
      <c r="H27" s="7">
        <v>0.2</v>
      </c>
      <c r="I27" s="1" t="s">
        <v>940</v>
      </c>
      <c r="J27" s="8">
        <v>-1.4E-2</v>
      </c>
      <c r="K27" s="42">
        <v>19</v>
      </c>
      <c r="L27" s="42">
        <v>15</v>
      </c>
      <c r="M27" s="40">
        <f t="shared" si="0"/>
        <v>0.58888888888888891</v>
      </c>
      <c r="N27" s="35">
        <f t="shared" si="1"/>
        <v>5</v>
      </c>
      <c r="O27" s="9" t="s">
        <v>941</v>
      </c>
    </row>
    <row r="28" spans="1:15" ht="28.8" x14ac:dyDescent="0.3">
      <c r="A28" s="1" t="s">
        <v>65</v>
      </c>
      <c r="B28" s="1">
        <v>48000</v>
      </c>
      <c r="C28" s="1">
        <v>50</v>
      </c>
      <c r="D28" s="1" t="s">
        <v>888</v>
      </c>
      <c r="E28" s="1" t="s">
        <v>893</v>
      </c>
      <c r="F28" s="7">
        <v>0.7</v>
      </c>
      <c r="G28" s="7">
        <v>0.28000000000000003</v>
      </c>
      <c r="H28" s="7">
        <v>0.15</v>
      </c>
      <c r="I28" s="1" t="s">
        <v>940</v>
      </c>
      <c r="J28" s="8">
        <v>-1.2999999999999999E-2</v>
      </c>
      <c r="K28" s="42">
        <v>2</v>
      </c>
      <c r="L28" s="42">
        <v>1</v>
      </c>
      <c r="M28" s="40">
        <f t="shared" si="0"/>
        <v>0.1</v>
      </c>
      <c r="N28" s="35">
        <f t="shared" si="1"/>
        <v>3</v>
      </c>
      <c r="O28" s="9" t="s">
        <v>942</v>
      </c>
    </row>
  </sheetData>
  <hyperlinks>
    <hyperlink ref="O2" r:id="rId1" xr:uid="{37EB2BD3-6736-47AA-AA5E-D39DCA9F57B3}"/>
    <hyperlink ref="P2" r:id="rId2" xr:uid="{397037B4-46BE-4345-B6CE-2484ACEB48BA}"/>
    <hyperlink ref="O3" r:id="rId3" xr:uid="{95BFC75A-078D-4AF3-B395-31DB9DFB2C4E}"/>
    <hyperlink ref="O4" r:id="rId4" xr:uid="{41A4646A-F4C3-4E94-8AF4-DC48E1A13EA5}"/>
    <hyperlink ref="O5" r:id="rId5" xr:uid="{0B92426E-85F3-4B36-8451-FA5002FAAE27}"/>
    <hyperlink ref="O27" r:id="rId6" xr:uid="{691FFEA7-967C-467C-8177-2DBA920FFE59}"/>
    <hyperlink ref="O28" r:id="rId7" xr:uid="{F165F037-C42B-41CB-80E8-7DBC05004893}"/>
    <hyperlink ref="O26" r:id="rId8" xr:uid="{09563EF7-1356-42DC-B6A5-D11D8839746A}"/>
    <hyperlink ref="O25" r:id="rId9" xr:uid="{15B8C241-5668-4AF7-B570-C7EAB0049324}"/>
    <hyperlink ref="O24" r:id="rId10" xr:uid="{118517BA-B901-4BC1-9CA0-ECDAB4E0025B}"/>
    <hyperlink ref="O23" r:id="rId11" xr:uid="{C1FF5128-F54E-4251-927D-740AFB9AEE96}"/>
    <hyperlink ref="O22" r:id="rId12" xr:uid="{6B9C8EA9-E8AD-410A-8A5A-66F0404B0928}"/>
    <hyperlink ref="O21" r:id="rId13" xr:uid="{64752738-5B30-47CD-B9A5-9C61D7C12204}"/>
    <hyperlink ref="O20" r:id="rId14" xr:uid="{CD0F1735-E89E-460A-8B21-5AC80A46DEEE}"/>
    <hyperlink ref="O19" r:id="rId15" xr:uid="{D018C277-899D-44EA-BC05-9490FCBE9801}"/>
    <hyperlink ref="O18" r:id="rId16" xr:uid="{A4D1E361-7226-4AC5-ACCA-947EF8AA5401}"/>
    <hyperlink ref="O17" r:id="rId17" xr:uid="{DCAB2C3E-64B6-4FF3-9A7A-D789A9543860}"/>
    <hyperlink ref="O16" r:id="rId18" xr:uid="{9C83631A-3B8F-4E4D-8108-CB3A3A556378}"/>
    <hyperlink ref="O15" r:id="rId19" xr:uid="{5CEF06B9-E5AD-4C13-BF06-D1194DEB6810}"/>
    <hyperlink ref="O14" r:id="rId20" xr:uid="{1DC96273-FE20-4445-8AE9-3DA6140E58F4}"/>
    <hyperlink ref="O13" r:id="rId21" xr:uid="{E63287D3-C74E-4CDE-972E-CDFFB48E6CC9}"/>
    <hyperlink ref="O12" r:id="rId22" xr:uid="{3C4BC1F2-FBF6-4ACD-A520-C985EF8CF07C}"/>
    <hyperlink ref="O11" r:id="rId23" xr:uid="{2E9F9011-18D6-4FF9-9204-735B8D57B334}"/>
    <hyperlink ref="O10" r:id="rId24" xr:uid="{0FD7121E-F167-4AA3-AA2C-468FCEEB9853}"/>
    <hyperlink ref="O9" r:id="rId25" xr:uid="{416B72BD-A3B2-4360-BED2-BD04BC351A0C}"/>
    <hyperlink ref="O8" r:id="rId26" xr:uid="{8ED1B296-4FAE-47E4-8097-D24D9896D900}"/>
    <hyperlink ref="O7" r:id="rId27" xr:uid="{67736483-E6F9-47C2-8638-AF7D619843B7}"/>
    <hyperlink ref="O6" r:id="rId28" xr:uid="{4BE3743D-1F21-4D2B-84C7-AFE4B89B4F42}"/>
    <hyperlink ref="P3" r:id="rId29" xr:uid="{F5A0E789-DB32-4536-A235-3A642E165570}"/>
  </hyperlinks>
  <pageMargins left="0.7" right="0.7" top="0.75" bottom="0.75" header="0.3" footer="0.3"/>
  <legacyDrawing r:id="rId3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B9837-93B0-406E-A9BE-BCA2AB6F9E65}">
  <sheetPr filterMode="1"/>
  <dimension ref="A1:G203"/>
  <sheetViews>
    <sheetView topLeftCell="A38" workbookViewId="0">
      <selection activeCell="I25" sqref="I25"/>
    </sheetView>
  </sheetViews>
  <sheetFormatPr defaultRowHeight="14.4" x14ac:dyDescent="0.3"/>
  <cols>
    <col min="1" max="1" width="19.44140625" customWidth="1"/>
    <col min="2" max="2" width="34.33203125" hidden="1" customWidth="1"/>
    <col min="3" max="4" width="19.44140625" customWidth="1"/>
    <col min="5" max="5" width="55.88671875" customWidth="1"/>
    <col min="6" max="6" width="19.44140625" customWidth="1"/>
    <col min="7" max="7" width="14.44140625" customWidth="1"/>
  </cols>
  <sheetData>
    <row r="1" spans="1:7" ht="15.6" x14ac:dyDescent="0.3">
      <c r="A1" s="47" t="s">
        <v>21</v>
      </c>
      <c r="B1" s="47" t="s">
        <v>943</v>
      </c>
      <c r="C1" s="47" t="s">
        <v>944</v>
      </c>
      <c r="D1" s="47" t="s">
        <v>945</v>
      </c>
      <c r="E1" s="47" t="s">
        <v>946</v>
      </c>
      <c r="F1" s="47" t="s">
        <v>947</v>
      </c>
      <c r="G1" s="47" t="s">
        <v>948</v>
      </c>
    </row>
    <row r="2" spans="1:7" x14ac:dyDescent="0.3">
      <c r="A2" s="48" t="s">
        <v>84</v>
      </c>
      <c r="B2" t="s">
        <v>949</v>
      </c>
      <c r="C2" s="48" t="s">
        <v>950</v>
      </c>
      <c r="D2" s="48" t="s">
        <v>951</v>
      </c>
      <c r="E2" s="48" t="s">
        <v>952</v>
      </c>
      <c r="F2" s="49" t="s">
        <v>953</v>
      </c>
      <c r="G2" s="48" t="s">
        <v>954</v>
      </c>
    </row>
    <row r="3" spans="1:7" x14ac:dyDescent="0.3">
      <c r="A3" s="48" t="s">
        <v>84</v>
      </c>
      <c r="B3" t="s">
        <v>955</v>
      </c>
      <c r="C3" s="48" t="s">
        <v>956</v>
      </c>
      <c r="D3" s="48" t="s">
        <v>957</v>
      </c>
      <c r="E3" s="48" t="s">
        <v>958</v>
      </c>
      <c r="F3" s="49" t="s">
        <v>959</v>
      </c>
      <c r="G3" s="48" t="s">
        <v>960</v>
      </c>
    </row>
    <row r="4" spans="1:7" x14ac:dyDescent="0.3">
      <c r="A4" s="48" t="s">
        <v>84</v>
      </c>
      <c r="B4" t="s">
        <v>961</v>
      </c>
      <c r="C4" s="48" t="s">
        <v>962</v>
      </c>
      <c r="D4" s="48" t="s">
        <v>963</v>
      </c>
      <c r="E4" s="48" t="s">
        <v>964</v>
      </c>
      <c r="F4" s="49" t="s">
        <v>965</v>
      </c>
      <c r="G4" s="48" t="s">
        <v>966</v>
      </c>
    </row>
    <row r="5" spans="1:7" x14ac:dyDescent="0.3">
      <c r="A5" s="48" t="s">
        <v>84</v>
      </c>
      <c r="B5" t="s">
        <v>967</v>
      </c>
      <c r="C5" s="48" t="s">
        <v>968</v>
      </c>
      <c r="D5" s="48" t="s">
        <v>969</v>
      </c>
      <c r="E5" s="48" t="s">
        <v>970</v>
      </c>
      <c r="F5" s="49" t="s">
        <v>971</v>
      </c>
      <c r="G5" s="48" t="s">
        <v>972</v>
      </c>
    </row>
    <row r="6" spans="1:7" x14ac:dyDescent="0.3">
      <c r="A6" s="48" t="s">
        <v>84</v>
      </c>
      <c r="B6" t="s">
        <v>973</v>
      </c>
      <c r="C6" s="48" t="s">
        <v>974</v>
      </c>
      <c r="D6" s="48" t="s">
        <v>975</v>
      </c>
      <c r="E6" s="48" t="s">
        <v>976</v>
      </c>
      <c r="F6" s="49" t="s">
        <v>977</v>
      </c>
      <c r="G6" s="48" t="s">
        <v>978</v>
      </c>
    </row>
    <row r="7" spans="1:7" x14ac:dyDescent="0.3">
      <c r="A7" s="48" t="s">
        <v>84</v>
      </c>
      <c r="B7" t="s">
        <v>979</v>
      </c>
      <c r="C7" s="48" t="s">
        <v>980</v>
      </c>
      <c r="D7" s="48" t="s">
        <v>969</v>
      </c>
      <c r="E7" s="48" t="s">
        <v>981</v>
      </c>
      <c r="F7" s="48" t="s">
        <v>982</v>
      </c>
      <c r="G7" s="48" t="s">
        <v>983</v>
      </c>
    </row>
    <row r="8" spans="1:7" x14ac:dyDescent="0.3">
      <c r="A8" s="48" t="s">
        <v>84</v>
      </c>
      <c r="B8" t="s">
        <v>984</v>
      </c>
      <c r="C8" s="48" t="s">
        <v>985</v>
      </c>
      <c r="D8" s="48" t="s">
        <v>986</v>
      </c>
      <c r="E8" s="48" t="s">
        <v>987</v>
      </c>
      <c r="F8" s="48" t="s">
        <v>988</v>
      </c>
      <c r="G8" s="48" t="s">
        <v>989</v>
      </c>
    </row>
    <row r="9" spans="1:7" hidden="1" x14ac:dyDescent="0.3">
      <c r="A9" t="s">
        <v>84</v>
      </c>
      <c r="B9" t="s">
        <v>990</v>
      </c>
      <c r="C9" t="s">
        <v>991</v>
      </c>
      <c r="D9" t="s">
        <v>992</v>
      </c>
      <c r="E9" t="s">
        <v>993</v>
      </c>
      <c r="G9" t="s">
        <v>994</v>
      </c>
    </row>
    <row r="10" spans="1:7" x14ac:dyDescent="0.3">
      <c r="A10" t="s">
        <v>117</v>
      </c>
      <c r="B10" t="s">
        <v>949</v>
      </c>
      <c r="C10" t="s">
        <v>995</v>
      </c>
      <c r="D10" t="s">
        <v>996</v>
      </c>
      <c r="E10" t="s">
        <v>952</v>
      </c>
      <c r="F10" t="s">
        <v>997</v>
      </c>
      <c r="G10" t="s">
        <v>998</v>
      </c>
    </row>
    <row r="11" spans="1:7" x14ac:dyDescent="0.3">
      <c r="A11" t="s">
        <v>117</v>
      </c>
      <c r="B11" t="s">
        <v>999</v>
      </c>
      <c r="C11" t="s">
        <v>1000</v>
      </c>
      <c r="D11" t="s">
        <v>1001</v>
      </c>
      <c r="E11" t="s">
        <v>1002</v>
      </c>
      <c r="F11" t="s">
        <v>1003</v>
      </c>
      <c r="G11" t="s">
        <v>1004</v>
      </c>
    </row>
    <row r="12" spans="1:7" x14ac:dyDescent="0.3">
      <c r="A12" t="s">
        <v>117</v>
      </c>
      <c r="B12" t="s">
        <v>984</v>
      </c>
      <c r="C12" t="s">
        <v>1005</v>
      </c>
      <c r="D12" t="s">
        <v>1006</v>
      </c>
      <c r="E12" t="s">
        <v>987</v>
      </c>
      <c r="F12" t="s">
        <v>1007</v>
      </c>
      <c r="G12" t="s">
        <v>1008</v>
      </c>
    </row>
    <row r="13" spans="1:7" x14ac:dyDescent="0.3">
      <c r="A13" t="s">
        <v>117</v>
      </c>
      <c r="B13" t="s">
        <v>990</v>
      </c>
      <c r="C13" t="s">
        <v>1009</v>
      </c>
      <c r="D13" t="s">
        <v>1010</v>
      </c>
      <c r="E13" t="s">
        <v>1011</v>
      </c>
      <c r="F13" t="s">
        <v>1012</v>
      </c>
      <c r="G13" t="s">
        <v>1013</v>
      </c>
    </row>
    <row r="14" spans="1:7" x14ac:dyDescent="0.3">
      <c r="A14" t="s">
        <v>117</v>
      </c>
      <c r="B14" t="s">
        <v>1014</v>
      </c>
      <c r="C14" t="s">
        <v>1015</v>
      </c>
      <c r="D14" t="s">
        <v>1016</v>
      </c>
      <c r="E14" t="s">
        <v>1017</v>
      </c>
      <c r="F14" t="s">
        <v>1018</v>
      </c>
      <c r="G14" t="s">
        <v>1019</v>
      </c>
    </row>
    <row r="15" spans="1:7" x14ac:dyDescent="0.3">
      <c r="A15" s="48" t="s">
        <v>136</v>
      </c>
      <c r="B15" t="s">
        <v>949</v>
      </c>
      <c r="C15" s="48" t="s">
        <v>1020</v>
      </c>
      <c r="D15" s="48" t="s">
        <v>1021</v>
      </c>
      <c r="E15" s="48" t="s">
        <v>1022</v>
      </c>
      <c r="F15" s="48" t="s">
        <v>1023</v>
      </c>
      <c r="G15" s="48" t="s">
        <v>954</v>
      </c>
    </row>
    <row r="16" spans="1:7" x14ac:dyDescent="0.3">
      <c r="A16" s="48" t="s">
        <v>136</v>
      </c>
      <c r="B16" t="s">
        <v>990</v>
      </c>
      <c r="C16" s="48" t="s">
        <v>1024</v>
      </c>
      <c r="D16" s="48" t="s">
        <v>1025</v>
      </c>
      <c r="E16" s="48" t="s">
        <v>1026</v>
      </c>
      <c r="F16" s="48" t="s">
        <v>1027</v>
      </c>
      <c r="G16" s="48" t="s">
        <v>1028</v>
      </c>
    </row>
    <row r="17" spans="1:7" hidden="1" x14ac:dyDescent="0.3">
      <c r="A17" t="s">
        <v>136</v>
      </c>
      <c r="B17" t="s">
        <v>967</v>
      </c>
      <c r="C17" t="s">
        <v>1029</v>
      </c>
      <c r="D17" t="s">
        <v>1030</v>
      </c>
      <c r="E17" t="s">
        <v>1031</v>
      </c>
      <c r="G17" t="s">
        <v>1032</v>
      </c>
    </row>
    <row r="18" spans="1:7" x14ac:dyDescent="0.3">
      <c r="A18" s="48" t="s">
        <v>136</v>
      </c>
      <c r="B18" t="s">
        <v>967</v>
      </c>
      <c r="C18" s="48" t="s">
        <v>1033</v>
      </c>
      <c r="D18" s="48" t="s">
        <v>1034</v>
      </c>
      <c r="E18" s="48" t="s">
        <v>1035</v>
      </c>
      <c r="F18" s="48" t="s">
        <v>1036</v>
      </c>
      <c r="G18" s="48" t="s">
        <v>1032</v>
      </c>
    </row>
    <row r="19" spans="1:7" x14ac:dyDescent="0.3">
      <c r="A19" s="48" t="s">
        <v>136</v>
      </c>
      <c r="B19" t="s">
        <v>979</v>
      </c>
      <c r="C19" s="48" t="s">
        <v>1037</v>
      </c>
      <c r="D19" s="48" t="s">
        <v>1038</v>
      </c>
      <c r="E19" s="48" t="s">
        <v>1039</v>
      </c>
      <c r="F19" s="48" t="s">
        <v>1040</v>
      </c>
      <c r="G19" s="48" t="s">
        <v>1028</v>
      </c>
    </row>
    <row r="20" spans="1:7" x14ac:dyDescent="0.3">
      <c r="A20" s="48" t="s">
        <v>136</v>
      </c>
      <c r="B20" t="s">
        <v>1014</v>
      </c>
      <c r="C20" s="48" t="s">
        <v>1041</v>
      </c>
      <c r="D20" s="48" t="s">
        <v>1042</v>
      </c>
      <c r="E20" s="48" t="s">
        <v>1043</v>
      </c>
      <c r="F20" s="48" t="s">
        <v>1044</v>
      </c>
      <c r="G20" s="48" t="s">
        <v>1045</v>
      </c>
    </row>
    <row r="21" spans="1:7" hidden="1" x14ac:dyDescent="0.3">
      <c r="A21" t="s">
        <v>136</v>
      </c>
      <c r="B21" t="s">
        <v>1046</v>
      </c>
      <c r="C21" t="s">
        <v>1047</v>
      </c>
      <c r="D21" t="s">
        <v>1048</v>
      </c>
      <c r="E21" t="s">
        <v>1049</v>
      </c>
      <c r="F21" t="s">
        <v>1050</v>
      </c>
      <c r="G21" t="s">
        <v>1028</v>
      </c>
    </row>
    <row r="22" spans="1:7" x14ac:dyDescent="0.3">
      <c r="A22" s="48" t="s">
        <v>136</v>
      </c>
      <c r="B22" t="s">
        <v>1014</v>
      </c>
      <c r="C22" s="48" t="s">
        <v>1051</v>
      </c>
      <c r="D22" s="48" t="s">
        <v>975</v>
      </c>
      <c r="E22" s="48" t="s">
        <v>1052</v>
      </c>
      <c r="F22" s="48" t="s">
        <v>1053</v>
      </c>
      <c r="G22" s="48" t="s">
        <v>1028</v>
      </c>
    </row>
    <row r="23" spans="1:7" hidden="1" x14ac:dyDescent="0.3">
      <c r="A23" t="s">
        <v>136</v>
      </c>
      <c r="B23" t="s">
        <v>961</v>
      </c>
      <c r="C23" t="s">
        <v>1054</v>
      </c>
      <c r="D23" t="s">
        <v>1055</v>
      </c>
      <c r="E23" t="s">
        <v>1056</v>
      </c>
      <c r="G23" t="s">
        <v>1057</v>
      </c>
    </row>
    <row r="24" spans="1:7" hidden="1" x14ac:dyDescent="0.3">
      <c r="A24" t="s">
        <v>529</v>
      </c>
      <c r="B24" t="s">
        <v>949</v>
      </c>
      <c r="C24" t="s">
        <v>1058</v>
      </c>
      <c r="D24" t="s">
        <v>1059</v>
      </c>
      <c r="E24" t="s">
        <v>1060</v>
      </c>
      <c r="G24" t="s">
        <v>1061</v>
      </c>
    </row>
    <row r="25" spans="1:7" x14ac:dyDescent="0.3">
      <c r="A25" t="s">
        <v>529</v>
      </c>
      <c r="B25" t="s">
        <v>984</v>
      </c>
      <c r="C25" t="s">
        <v>1062</v>
      </c>
      <c r="D25" t="s">
        <v>1063</v>
      </c>
      <c r="E25" t="s">
        <v>987</v>
      </c>
      <c r="F25" t="s">
        <v>1064</v>
      </c>
      <c r="G25" t="s">
        <v>954</v>
      </c>
    </row>
    <row r="26" spans="1:7" x14ac:dyDescent="0.3">
      <c r="A26" t="s">
        <v>529</v>
      </c>
      <c r="B26" t="s">
        <v>979</v>
      </c>
      <c r="C26" t="s">
        <v>1065</v>
      </c>
      <c r="D26" t="s">
        <v>1066</v>
      </c>
      <c r="E26" t="s">
        <v>1067</v>
      </c>
      <c r="F26" t="s">
        <v>1068</v>
      </c>
      <c r="G26" t="s">
        <v>1069</v>
      </c>
    </row>
    <row r="27" spans="1:7" x14ac:dyDescent="0.3">
      <c r="A27" t="s">
        <v>529</v>
      </c>
      <c r="B27" t="s">
        <v>967</v>
      </c>
      <c r="C27" t="s">
        <v>1070</v>
      </c>
      <c r="D27" t="s">
        <v>1071</v>
      </c>
      <c r="E27" t="s">
        <v>1072</v>
      </c>
      <c r="F27" t="s">
        <v>1073</v>
      </c>
      <c r="G27" t="s">
        <v>1074</v>
      </c>
    </row>
    <row r="28" spans="1:7" x14ac:dyDescent="0.3">
      <c r="A28" s="48" t="s">
        <v>190</v>
      </c>
      <c r="B28" t="s">
        <v>949</v>
      </c>
      <c r="C28" s="48" t="s">
        <v>1075</v>
      </c>
      <c r="D28" s="48" t="s">
        <v>1076</v>
      </c>
      <c r="E28" s="48" t="s">
        <v>1022</v>
      </c>
      <c r="F28" s="48" t="s">
        <v>1077</v>
      </c>
      <c r="G28" s="48" t="s">
        <v>1078</v>
      </c>
    </row>
    <row r="29" spans="1:7" x14ac:dyDescent="0.3">
      <c r="A29" s="48" t="s">
        <v>190</v>
      </c>
      <c r="B29" t="s">
        <v>999</v>
      </c>
      <c r="C29" s="48" t="s">
        <v>1070</v>
      </c>
      <c r="D29" s="48" t="s">
        <v>1079</v>
      </c>
      <c r="E29" s="48" t="s">
        <v>1080</v>
      </c>
      <c r="F29" s="48" t="s">
        <v>1081</v>
      </c>
      <c r="G29" s="48" t="s">
        <v>1082</v>
      </c>
    </row>
    <row r="30" spans="1:7" x14ac:dyDescent="0.3">
      <c r="A30" s="48" t="s">
        <v>190</v>
      </c>
      <c r="B30" t="s">
        <v>1046</v>
      </c>
      <c r="C30" s="48" t="s">
        <v>1083</v>
      </c>
      <c r="D30" s="48" t="s">
        <v>996</v>
      </c>
      <c r="E30" s="48" t="s">
        <v>1084</v>
      </c>
      <c r="F30" s="48" t="s">
        <v>1085</v>
      </c>
      <c r="G30" s="48" t="s">
        <v>1086</v>
      </c>
    </row>
    <row r="31" spans="1:7" x14ac:dyDescent="0.3">
      <c r="A31" s="48" t="s">
        <v>190</v>
      </c>
      <c r="B31" t="s">
        <v>999</v>
      </c>
      <c r="C31" s="48" t="s">
        <v>1087</v>
      </c>
      <c r="D31" s="48" t="s">
        <v>1088</v>
      </c>
      <c r="E31" s="48" t="s">
        <v>1089</v>
      </c>
      <c r="F31" s="48" t="s">
        <v>1090</v>
      </c>
      <c r="G31" s="48" t="s">
        <v>1091</v>
      </c>
    </row>
    <row r="32" spans="1:7" x14ac:dyDescent="0.3">
      <c r="A32" s="48" t="s">
        <v>190</v>
      </c>
      <c r="B32" t="s">
        <v>967</v>
      </c>
      <c r="C32" s="48" t="s">
        <v>1092</v>
      </c>
      <c r="D32" s="48" t="s">
        <v>1093</v>
      </c>
      <c r="E32" s="48" t="s">
        <v>1094</v>
      </c>
      <c r="F32" s="48" t="s">
        <v>1095</v>
      </c>
      <c r="G32" s="48" t="s">
        <v>1096</v>
      </c>
    </row>
    <row r="33" spans="1:7" x14ac:dyDescent="0.3">
      <c r="A33" s="48" t="s">
        <v>190</v>
      </c>
      <c r="B33" t="s">
        <v>990</v>
      </c>
      <c r="C33" s="48" t="s">
        <v>1097</v>
      </c>
      <c r="D33" s="48" t="s">
        <v>1098</v>
      </c>
      <c r="E33" s="48" t="s">
        <v>1099</v>
      </c>
      <c r="F33" s="48" t="s">
        <v>1100</v>
      </c>
      <c r="G33" s="48" t="s">
        <v>1101</v>
      </c>
    </row>
    <row r="34" spans="1:7" x14ac:dyDescent="0.3">
      <c r="A34" s="48" t="s">
        <v>190</v>
      </c>
      <c r="B34" t="s">
        <v>961</v>
      </c>
      <c r="C34" s="48" t="s">
        <v>1102</v>
      </c>
      <c r="D34" s="48" t="s">
        <v>1103</v>
      </c>
      <c r="E34" s="48" t="s">
        <v>1104</v>
      </c>
      <c r="F34" s="48" t="s">
        <v>1105</v>
      </c>
      <c r="G34" s="48" t="s">
        <v>1106</v>
      </c>
    </row>
    <row r="35" spans="1:7" x14ac:dyDescent="0.3">
      <c r="A35" t="s">
        <v>544</v>
      </c>
      <c r="B35" t="s">
        <v>949</v>
      </c>
      <c r="C35" t="s">
        <v>1107</v>
      </c>
      <c r="D35" t="s">
        <v>1108</v>
      </c>
      <c r="E35" t="s">
        <v>1022</v>
      </c>
      <c r="F35" t="s">
        <v>1109</v>
      </c>
      <c r="G35" t="s">
        <v>1110</v>
      </c>
    </row>
    <row r="36" spans="1:7" x14ac:dyDescent="0.3">
      <c r="A36" t="s">
        <v>544</v>
      </c>
      <c r="B36" t="s">
        <v>955</v>
      </c>
      <c r="C36" t="s">
        <v>1111</v>
      </c>
      <c r="D36" t="s">
        <v>1112</v>
      </c>
      <c r="E36" t="s">
        <v>1113</v>
      </c>
      <c r="F36" t="s">
        <v>1114</v>
      </c>
      <c r="G36" t="s">
        <v>1115</v>
      </c>
    </row>
    <row r="37" spans="1:7" x14ac:dyDescent="0.3">
      <c r="A37" t="s">
        <v>544</v>
      </c>
      <c r="B37" t="s">
        <v>1046</v>
      </c>
      <c r="C37" t="s">
        <v>1116</v>
      </c>
      <c r="D37" t="s">
        <v>1117</v>
      </c>
      <c r="E37" t="s">
        <v>1118</v>
      </c>
      <c r="F37" t="s">
        <v>1119</v>
      </c>
      <c r="G37" t="s">
        <v>954</v>
      </c>
    </row>
    <row r="38" spans="1:7" x14ac:dyDescent="0.3">
      <c r="A38" t="s">
        <v>544</v>
      </c>
      <c r="B38" t="s">
        <v>990</v>
      </c>
      <c r="C38" t="s">
        <v>1120</v>
      </c>
      <c r="D38" t="s">
        <v>1121</v>
      </c>
      <c r="E38" t="s">
        <v>1122</v>
      </c>
      <c r="F38" t="s">
        <v>1123</v>
      </c>
      <c r="G38" t="s">
        <v>1124</v>
      </c>
    </row>
    <row r="39" spans="1:7" hidden="1" x14ac:dyDescent="0.3">
      <c r="A39" t="s">
        <v>544</v>
      </c>
      <c r="B39" t="s">
        <v>973</v>
      </c>
      <c r="C39" t="s">
        <v>1125</v>
      </c>
      <c r="D39" t="s">
        <v>1126</v>
      </c>
      <c r="E39" t="s">
        <v>1127</v>
      </c>
      <c r="F39" t="s">
        <v>1128</v>
      </c>
      <c r="G39" t="s">
        <v>1129</v>
      </c>
    </row>
    <row r="40" spans="1:7" x14ac:dyDescent="0.3">
      <c r="A40" t="s">
        <v>544</v>
      </c>
      <c r="B40" t="s">
        <v>967</v>
      </c>
      <c r="C40" t="s">
        <v>1130</v>
      </c>
      <c r="D40" t="s">
        <v>1131</v>
      </c>
      <c r="E40" t="s">
        <v>1132</v>
      </c>
      <c r="F40" t="s">
        <v>1133</v>
      </c>
      <c r="G40" t="s">
        <v>1134</v>
      </c>
    </row>
    <row r="41" spans="1:7" x14ac:dyDescent="0.3">
      <c r="A41" t="s">
        <v>544</v>
      </c>
      <c r="B41" t="s">
        <v>961</v>
      </c>
      <c r="C41" t="s">
        <v>1135</v>
      </c>
      <c r="D41" t="s">
        <v>1136</v>
      </c>
      <c r="E41" t="s">
        <v>1137</v>
      </c>
      <c r="F41" t="s">
        <v>1138</v>
      </c>
      <c r="G41" t="s">
        <v>1139</v>
      </c>
    </row>
    <row r="42" spans="1:7" x14ac:dyDescent="0.3">
      <c r="A42" t="s">
        <v>544</v>
      </c>
      <c r="B42" t="s">
        <v>979</v>
      </c>
      <c r="C42" t="s">
        <v>1083</v>
      </c>
      <c r="D42" t="s">
        <v>1140</v>
      </c>
      <c r="E42" t="s">
        <v>1141</v>
      </c>
      <c r="F42" t="s">
        <v>1142</v>
      </c>
      <c r="G42" t="s">
        <v>1143</v>
      </c>
    </row>
    <row r="43" spans="1:7" x14ac:dyDescent="0.3">
      <c r="A43" t="s">
        <v>544</v>
      </c>
      <c r="B43" t="s">
        <v>999</v>
      </c>
      <c r="C43" t="s">
        <v>1144</v>
      </c>
      <c r="D43" t="s">
        <v>1145</v>
      </c>
      <c r="E43" t="s">
        <v>1146</v>
      </c>
      <c r="F43" t="s">
        <v>1147</v>
      </c>
      <c r="G43" t="s">
        <v>1148</v>
      </c>
    </row>
    <row r="44" spans="1:7" hidden="1" x14ac:dyDescent="0.3">
      <c r="A44" t="s">
        <v>544</v>
      </c>
      <c r="B44" t="s">
        <v>990</v>
      </c>
      <c r="C44" t="s">
        <v>1149</v>
      </c>
      <c r="D44" t="s">
        <v>1150</v>
      </c>
      <c r="E44" t="s">
        <v>1151</v>
      </c>
      <c r="G44" t="s">
        <v>1152</v>
      </c>
    </row>
    <row r="45" spans="1:7" hidden="1" x14ac:dyDescent="0.3">
      <c r="A45" t="s">
        <v>195</v>
      </c>
      <c r="B45" t="s">
        <v>999</v>
      </c>
      <c r="C45" t="s">
        <v>1153</v>
      </c>
      <c r="D45" t="s">
        <v>1154</v>
      </c>
      <c r="E45" t="s">
        <v>1155</v>
      </c>
      <c r="G45" t="s">
        <v>1156</v>
      </c>
    </row>
    <row r="46" spans="1:7" x14ac:dyDescent="0.3">
      <c r="A46" s="48" t="s">
        <v>195</v>
      </c>
      <c r="B46" t="s">
        <v>999</v>
      </c>
      <c r="C46" s="48" t="s">
        <v>1157</v>
      </c>
      <c r="D46" s="48" t="s">
        <v>1158</v>
      </c>
      <c r="E46" s="48" t="s">
        <v>1159</v>
      </c>
      <c r="F46" s="48" t="s">
        <v>1160</v>
      </c>
      <c r="G46" s="48" t="s">
        <v>1156</v>
      </c>
    </row>
    <row r="47" spans="1:7" x14ac:dyDescent="0.3">
      <c r="A47" s="48" t="s">
        <v>195</v>
      </c>
      <c r="B47" t="s">
        <v>1046</v>
      </c>
      <c r="C47" s="48" t="s">
        <v>1161</v>
      </c>
      <c r="D47" s="48" t="s">
        <v>1042</v>
      </c>
      <c r="E47" s="48" t="s">
        <v>1162</v>
      </c>
      <c r="F47" s="48" t="s">
        <v>1163</v>
      </c>
      <c r="G47" s="48" t="s">
        <v>1164</v>
      </c>
    </row>
    <row r="48" spans="1:7" x14ac:dyDescent="0.3">
      <c r="A48" s="48" t="s">
        <v>195</v>
      </c>
      <c r="B48" t="s">
        <v>999</v>
      </c>
      <c r="C48" s="48" t="s">
        <v>1165</v>
      </c>
      <c r="D48" s="48" t="s">
        <v>1166</v>
      </c>
      <c r="E48" s="48" t="s">
        <v>1167</v>
      </c>
      <c r="F48" s="48" t="s">
        <v>1168</v>
      </c>
      <c r="G48" s="48" t="s">
        <v>1164</v>
      </c>
    </row>
    <row r="49" spans="1:7" x14ac:dyDescent="0.3">
      <c r="A49" s="48" t="s">
        <v>195</v>
      </c>
      <c r="B49" t="s">
        <v>955</v>
      </c>
      <c r="C49" s="48" t="s">
        <v>1169</v>
      </c>
      <c r="D49" s="48" t="s">
        <v>1170</v>
      </c>
      <c r="E49" s="48" t="s">
        <v>1171</v>
      </c>
      <c r="F49" s="48" t="s">
        <v>1172</v>
      </c>
      <c r="G49" s="48" t="s">
        <v>1173</v>
      </c>
    </row>
    <row r="50" spans="1:7" x14ac:dyDescent="0.3">
      <c r="A50" s="48" t="s">
        <v>195</v>
      </c>
      <c r="B50" t="s">
        <v>999</v>
      </c>
      <c r="C50" s="48" t="s">
        <v>1174</v>
      </c>
      <c r="D50" s="48" t="s">
        <v>1175</v>
      </c>
      <c r="E50" s="48" t="s">
        <v>1176</v>
      </c>
      <c r="F50" s="48" t="s">
        <v>1177</v>
      </c>
      <c r="G50" s="48" t="s">
        <v>954</v>
      </c>
    </row>
    <row r="51" spans="1:7" x14ac:dyDescent="0.3">
      <c r="A51" s="48" t="s">
        <v>195</v>
      </c>
      <c r="B51" t="s">
        <v>979</v>
      </c>
      <c r="C51" s="48" t="s">
        <v>1178</v>
      </c>
      <c r="D51" s="48" t="s">
        <v>1179</v>
      </c>
      <c r="E51" s="48" t="s">
        <v>1180</v>
      </c>
      <c r="F51" s="48" t="s">
        <v>1181</v>
      </c>
      <c r="G51" s="48" t="s">
        <v>1182</v>
      </c>
    </row>
    <row r="52" spans="1:7" x14ac:dyDescent="0.3">
      <c r="A52" s="48" t="s">
        <v>195</v>
      </c>
      <c r="B52" t="s">
        <v>990</v>
      </c>
      <c r="C52" s="48" t="s">
        <v>1183</v>
      </c>
      <c r="D52" s="48" t="s">
        <v>1184</v>
      </c>
      <c r="E52" s="48" t="s">
        <v>987</v>
      </c>
      <c r="F52" s="48" t="s">
        <v>1185</v>
      </c>
      <c r="G52" s="48" t="s">
        <v>1164</v>
      </c>
    </row>
    <row r="53" spans="1:7" x14ac:dyDescent="0.3">
      <c r="A53" s="48" t="s">
        <v>195</v>
      </c>
      <c r="B53" t="s">
        <v>961</v>
      </c>
      <c r="C53" s="48" t="s">
        <v>1186</v>
      </c>
      <c r="D53" s="48" t="s">
        <v>1187</v>
      </c>
      <c r="E53" s="48" t="s">
        <v>1188</v>
      </c>
      <c r="F53" s="48" t="s">
        <v>1189</v>
      </c>
      <c r="G53" s="48" t="s">
        <v>1190</v>
      </c>
    </row>
    <row r="54" spans="1:7" x14ac:dyDescent="0.3">
      <c r="A54" s="48" t="s">
        <v>195</v>
      </c>
      <c r="B54" t="s">
        <v>967</v>
      </c>
      <c r="C54" s="48" t="s">
        <v>1191</v>
      </c>
      <c r="D54" s="48" t="s">
        <v>1192</v>
      </c>
      <c r="E54" s="48" t="s">
        <v>1193</v>
      </c>
      <c r="F54" s="48" t="s">
        <v>1194</v>
      </c>
      <c r="G54" s="48" t="s">
        <v>1195</v>
      </c>
    </row>
    <row r="55" spans="1:7" x14ac:dyDescent="0.3">
      <c r="A55" s="48" t="s">
        <v>195</v>
      </c>
      <c r="B55" t="s">
        <v>979</v>
      </c>
      <c r="C55" s="48" t="s">
        <v>1196</v>
      </c>
      <c r="D55" s="48" t="s">
        <v>1197</v>
      </c>
      <c r="E55" s="48" t="s">
        <v>1198</v>
      </c>
      <c r="F55" s="48" t="s">
        <v>1199</v>
      </c>
      <c r="G55" s="48" t="s">
        <v>1182</v>
      </c>
    </row>
    <row r="56" spans="1:7" hidden="1" x14ac:dyDescent="0.3">
      <c r="A56" t="s">
        <v>195</v>
      </c>
      <c r="B56" t="s">
        <v>973</v>
      </c>
      <c r="C56" t="s">
        <v>1200</v>
      </c>
      <c r="D56" t="s">
        <v>1170</v>
      </c>
      <c r="E56" t="s">
        <v>1201</v>
      </c>
      <c r="F56" t="s">
        <v>1202</v>
      </c>
      <c r="G56" t="s">
        <v>1203</v>
      </c>
    </row>
    <row r="57" spans="1:7" x14ac:dyDescent="0.3">
      <c r="A57" s="48" t="s">
        <v>195</v>
      </c>
      <c r="B57" t="s">
        <v>955</v>
      </c>
      <c r="C57" s="48" t="s">
        <v>1000</v>
      </c>
      <c r="D57" s="48" t="s">
        <v>1204</v>
      </c>
      <c r="E57" s="48" t="s">
        <v>1205</v>
      </c>
      <c r="F57" s="48" t="s">
        <v>1206</v>
      </c>
      <c r="G57" s="48" t="s">
        <v>1164</v>
      </c>
    </row>
    <row r="58" spans="1:7" hidden="1" x14ac:dyDescent="0.3">
      <c r="A58" t="s">
        <v>195</v>
      </c>
      <c r="B58" t="s">
        <v>990</v>
      </c>
      <c r="C58" t="s">
        <v>1207</v>
      </c>
      <c r="D58" t="s">
        <v>1208</v>
      </c>
      <c r="E58" t="s">
        <v>1209</v>
      </c>
      <c r="G58" t="s">
        <v>1164</v>
      </c>
    </row>
    <row r="59" spans="1:7" hidden="1" x14ac:dyDescent="0.3">
      <c r="A59" t="s">
        <v>235</v>
      </c>
      <c r="B59" t="s">
        <v>999</v>
      </c>
      <c r="C59" t="s">
        <v>1210</v>
      </c>
      <c r="D59" t="s">
        <v>1211</v>
      </c>
      <c r="E59" t="s">
        <v>1212</v>
      </c>
      <c r="G59" t="s">
        <v>1213</v>
      </c>
    </row>
    <row r="60" spans="1:7" x14ac:dyDescent="0.3">
      <c r="A60" t="s">
        <v>235</v>
      </c>
      <c r="B60" t="s">
        <v>1046</v>
      </c>
      <c r="C60" t="s">
        <v>1214</v>
      </c>
      <c r="D60" t="s">
        <v>1215</v>
      </c>
      <c r="E60" t="s">
        <v>1216</v>
      </c>
      <c r="F60" t="s">
        <v>1217</v>
      </c>
      <c r="G60" t="s">
        <v>1218</v>
      </c>
    </row>
    <row r="61" spans="1:7" x14ac:dyDescent="0.3">
      <c r="A61" t="s">
        <v>235</v>
      </c>
      <c r="B61" t="s">
        <v>949</v>
      </c>
      <c r="C61" t="s">
        <v>1219</v>
      </c>
      <c r="D61" t="s">
        <v>1220</v>
      </c>
      <c r="E61" t="s">
        <v>952</v>
      </c>
      <c r="F61" t="s">
        <v>1221</v>
      </c>
      <c r="G61" t="s">
        <v>1222</v>
      </c>
    </row>
    <row r="62" spans="1:7" x14ac:dyDescent="0.3">
      <c r="A62" t="s">
        <v>235</v>
      </c>
      <c r="B62" t="s">
        <v>999</v>
      </c>
      <c r="C62" t="s">
        <v>1223</v>
      </c>
      <c r="D62" t="s">
        <v>1224</v>
      </c>
      <c r="E62" t="s">
        <v>1146</v>
      </c>
      <c r="F62" t="s">
        <v>1225</v>
      </c>
      <c r="G62" t="s">
        <v>1226</v>
      </c>
    </row>
    <row r="63" spans="1:7" x14ac:dyDescent="0.3">
      <c r="A63" t="s">
        <v>235</v>
      </c>
      <c r="B63" t="s">
        <v>955</v>
      </c>
      <c r="C63" t="s">
        <v>1227</v>
      </c>
      <c r="D63" t="s">
        <v>1228</v>
      </c>
      <c r="E63" t="s">
        <v>1229</v>
      </c>
      <c r="F63" t="s">
        <v>1230</v>
      </c>
      <c r="G63" t="s">
        <v>1222</v>
      </c>
    </row>
    <row r="64" spans="1:7" x14ac:dyDescent="0.3">
      <c r="A64" t="s">
        <v>235</v>
      </c>
      <c r="B64" t="s">
        <v>949</v>
      </c>
      <c r="C64" t="s">
        <v>1219</v>
      </c>
      <c r="D64" t="s">
        <v>1231</v>
      </c>
      <c r="E64" t="s">
        <v>1022</v>
      </c>
      <c r="F64" t="s">
        <v>1232</v>
      </c>
      <c r="G64" t="s">
        <v>1222</v>
      </c>
    </row>
    <row r="65" spans="1:7" hidden="1" x14ac:dyDescent="0.3">
      <c r="A65" t="s">
        <v>235</v>
      </c>
      <c r="B65" t="s">
        <v>984</v>
      </c>
      <c r="C65" t="s">
        <v>1233</v>
      </c>
      <c r="D65" t="s">
        <v>1234</v>
      </c>
      <c r="E65" t="s">
        <v>1235</v>
      </c>
      <c r="F65" t="s">
        <v>1236</v>
      </c>
      <c r="G65" t="s">
        <v>1222</v>
      </c>
    </row>
    <row r="66" spans="1:7" x14ac:dyDescent="0.3">
      <c r="A66" t="s">
        <v>235</v>
      </c>
      <c r="B66" t="s">
        <v>979</v>
      </c>
      <c r="C66" t="s">
        <v>1237</v>
      </c>
      <c r="D66" t="s">
        <v>1238</v>
      </c>
      <c r="E66" t="s">
        <v>1067</v>
      </c>
      <c r="F66" t="s">
        <v>1239</v>
      </c>
      <c r="G66" t="s">
        <v>1240</v>
      </c>
    </row>
    <row r="67" spans="1:7" x14ac:dyDescent="0.3">
      <c r="A67" t="s">
        <v>235</v>
      </c>
      <c r="B67" t="s">
        <v>961</v>
      </c>
      <c r="C67" t="s">
        <v>1241</v>
      </c>
      <c r="D67" t="s">
        <v>1242</v>
      </c>
      <c r="E67" t="s">
        <v>964</v>
      </c>
      <c r="F67" t="s">
        <v>1243</v>
      </c>
      <c r="G67" t="s">
        <v>1244</v>
      </c>
    </row>
    <row r="68" spans="1:7" x14ac:dyDescent="0.3">
      <c r="A68" s="48" t="s">
        <v>240</v>
      </c>
      <c r="B68" t="s">
        <v>990</v>
      </c>
      <c r="C68" s="48" t="s">
        <v>1245</v>
      </c>
      <c r="D68" s="48" t="s">
        <v>1246</v>
      </c>
      <c r="E68" s="48" t="s">
        <v>1247</v>
      </c>
      <c r="F68" s="48" t="s">
        <v>1248</v>
      </c>
      <c r="G68" s="48" t="s">
        <v>1249</v>
      </c>
    </row>
    <row r="69" spans="1:7" x14ac:dyDescent="0.3">
      <c r="A69" s="48" t="s">
        <v>240</v>
      </c>
      <c r="B69" t="s">
        <v>949</v>
      </c>
      <c r="C69" s="48" t="s">
        <v>1250</v>
      </c>
      <c r="D69" s="48" t="s">
        <v>1251</v>
      </c>
      <c r="E69" s="48" t="s">
        <v>952</v>
      </c>
      <c r="F69" s="48" t="s">
        <v>1252</v>
      </c>
      <c r="G69" s="48" t="s">
        <v>1249</v>
      </c>
    </row>
    <row r="70" spans="1:7" x14ac:dyDescent="0.3">
      <c r="A70" s="48" t="s">
        <v>240</v>
      </c>
      <c r="B70" t="s">
        <v>999</v>
      </c>
      <c r="C70" s="48" t="s">
        <v>1253</v>
      </c>
      <c r="D70" s="48" t="s">
        <v>1254</v>
      </c>
      <c r="E70" s="48" t="s">
        <v>1255</v>
      </c>
      <c r="F70" s="48" t="s">
        <v>1256</v>
      </c>
      <c r="G70" s="48" t="s">
        <v>1257</v>
      </c>
    </row>
    <row r="71" spans="1:7" x14ac:dyDescent="0.3">
      <c r="A71" s="48" t="s">
        <v>240</v>
      </c>
      <c r="B71" t="s">
        <v>990</v>
      </c>
      <c r="C71" s="48" t="s">
        <v>1258</v>
      </c>
      <c r="D71" s="48" t="s">
        <v>1259</v>
      </c>
      <c r="E71" s="48" t="s">
        <v>987</v>
      </c>
      <c r="F71" s="48" t="s">
        <v>1260</v>
      </c>
      <c r="G71" s="48" t="s">
        <v>1261</v>
      </c>
    </row>
    <row r="72" spans="1:7" hidden="1" x14ac:dyDescent="0.3">
      <c r="A72" t="s">
        <v>240</v>
      </c>
      <c r="B72" t="s">
        <v>955</v>
      </c>
      <c r="C72" t="s">
        <v>1262</v>
      </c>
      <c r="D72" t="s">
        <v>1263</v>
      </c>
      <c r="E72" t="s">
        <v>1264</v>
      </c>
      <c r="F72" t="s">
        <v>1265</v>
      </c>
      <c r="G72" t="s">
        <v>1266</v>
      </c>
    </row>
    <row r="73" spans="1:7" x14ac:dyDescent="0.3">
      <c r="A73" s="48" t="s">
        <v>240</v>
      </c>
      <c r="B73" t="s">
        <v>999</v>
      </c>
      <c r="C73" s="48" t="s">
        <v>1267</v>
      </c>
      <c r="D73" s="48" t="s">
        <v>1268</v>
      </c>
      <c r="E73" s="48" t="s">
        <v>1269</v>
      </c>
      <c r="F73" s="48" t="s">
        <v>1270</v>
      </c>
      <c r="G73" s="48" t="s">
        <v>1271</v>
      </c>
    </row>
    <row r="74" spans="1:7" x14ac:dyDescent="0.3">
      <c r="A74" s="48" t="s">
        <v>240</v>
      </c>
      <c r="B74" t="s">
        <v>979</v>
      </c>
      <c r="C74" s="48" t="s">
        <v>1272</v>
      </c>
      <c r="D74" s="48" t="s">
        <v>1273</v>
      </c>
      <c r="E74" s="48" t="s">
        <v>1274</v>
      </c>
      <c r="F74" s="48" t="s">
        <v>1275</v>
      </c>
      <c r="G74" s="48" t="s">
        <v>1276</v>
      </c>
    </row>
    <row r="75" spans="1:7" x14ac:dyDescent="0.3">
      <c r="A75" s="48" t="s">
        <v>240</v>
      </c>
      <c r="B75" t="s">
        <v>990</v>
      </c>
      <c r="C75" s="48" t="s">
        <v>1277</v>
      </c>
      <c r="D75" s="48" t="s">
        <v>1278</v>
      </c>
      <c r="E75" s="48" t="s">
        <v>1279</v>
      </c>
      <c r="F75" s="48" t="s">
        <v>1280</v>
      </c>
      <c r="G75" s="48" t="s">
        <v>1281</v>
      </c>
    </row>
    <row r="76" spans="1:7" x14ac:dyDescent="0.3">
      <c r="A76" s="48" t="s">
        <v>240</v>
      </c>
      <c r="B76" t="s">
        <v>1046</v>
      </c>
      <c r="C76" s="48" t="s">
        <v>1282</v>
      </c>
      <c r="D76" s="48" t="s">
        <v>1283</v>
      </c>
      <c r="E76" s="48" t="s">
        <v>1284</v>
      </c>
      <c r="F76" s="48" t="s">
        <v>1285</v>
      </c>
      <c r="G76" s="48" t="s">
        <v>1286</v>
      </c>
    </row>
    <row r="77" spans="1:7" x14ac:dyDescent="0.3">
      <c r="A77" s="48" t="s">
        <v>240</v>
      </c>
      <c r="B77" t="s">
        <v>979</v>
      </c>
      <c r="C77" s="48" t="s">
        <v>1287</v>
      </c>
      <c r="D77" s="48" t="s">
        <v>1288</v>
      </c>
      <c r="E77" s="48" t="s">
        <v>1289</v>
      </c>
      <c r="F77" s="48" t="s">
        <v>1290</v>
      </c>
      <c r="G77" s="48" t="s">
        <v>1291</v>
      </c>
    </row>
    <row r="78" spans="1:7" x14ac:dyDescent="0.3">
      <c r="A78" s="48" t="s">
        <v>240</v>
      </c>
      <c r="B78" t="s">
        <v>999</v>
      </c>
      <c r="C78" s="48" t="s">
        <v>1292</v>
      </c>
      <c r="D78" s="48" t="s">
        <v>1293</v>
      </c>
      <c r="E78" s="48" t="s">
        <v>1294</v>
      </c>
      <c r="F78" s="48" t="s">
        <v>1295</v>
      </c>
      <c r="G78" s="48" t="s">
        <v>1296</v>
      </c>
    </row>
    <row r="79" spans="1:7" x14ac:dyDescent="0.3">
      <c r="A79" t="s">
        <v>257</v>
      </c>
      <c r="B79" t="s">
        <v>955</v>
      </c>
      <c r="C79" t="s">
        <v>1297</v>
      </c>
      <c r="D79" t="s">
        <v>1298</v>
      </c>
      <c r="E79" t="s">
        <v>1299</v>
      </c>
      <c r="F79" t="s">
        <v>1300</v>
      </c>
      <c r="G79" t="s">
        <v>1301</v>
      </c>
    </row>
    <row r="80" spans="1:7" hidden="1" x14ac:dyDescent="0.3">
      <c r="A80" t="s">
        <v>257</v>
      </c>
      <c r="B80" t="s">
        <v>999</v>
      </c>
      <c r="C80" t="s">
        <v>1302</v>
      </c>
      <c r="D80" t="s">
        <v>1303</v>
      </c>
      <c r="E80" t="s">
        <v>1304</v>
      </c>
      <c r="G80" t="s">
        <v>1301</v>
      </c>
    </row>
    <row r="81" spans="1:7" x14ac:dyDescent="0.3">
      <c r="A81" t="s">
        <v>257</v>
      </c>
      <c r="B81" t="s">
        <v>990</v>
      </c>
      <c r="C81" t="s">
        <v>1305</v>
      </c>
      <c r="D81" t="s">
        <v>1306</v>
      </c>
      <c r="E81" t="s">
        <v>987</v>
      </c>
      <c r="F81" t="s">
        <v>1307</v>
      </c>
      <c r="G81" t="s">
        <v>1301</v>
      </c>
    </row>
    <row r="82" spans="1:7" x14ac:dyDescent="0.3">
      <c r="A82" t="s">
        <v>257</v>
      </c>
      <c r="B82" t="s">
        <v>990</v>
      </c>
      <c r="C82" t="s">
        <v>1308</v>
      </c>
      <c r="D82" t="s">
        <v>1309</v>
      </c>
      <c r="E82" t="s">
        <v>1310</v>
      </c>
      <c r="F82" t="s">
        <v>1311</v>
      </c>
      <c r="G82" t="s">
        <v>1312</v>
      </c>
    </row>
    <row r="83" spans="1:7" hidden="1" x14ac:dyDescent="0.3">
      <c r="A83" t="s">
        <v>257</v>
      </c>
      <c r="B83" t="s">
        <v>961</v>
      </c>
      <c r="C83" t="s">
        <v>1313</v>
      </c>
      <c r="D83" t="s">
        <v>1314</v>
      </c>
      <c r="E83" t="s">
        <v>964</v>
      </c>
      <c r="G83" t="s">
        <v>1315</v>
      </c>
    </row>
    <row r="84" spans="1:7" x14ac:dyDescent="0.3">
      <c r="A84" t="s">
        <v>257</v>
      </c>
      <c r="B84" t="s">
        <v>1014</v>
      </c>
      <c r="C84" t="s">
        <v>1316</v>
      </c>
      <c r="D84" t="s">
        <v>1317</v>
      </c>
      <c r="E84" t="s">
        <v>1052</v>
      </c>
      <c r="F84" t="s">
        <v>1318</v>
      </c>
      <c r="G84" t="s">
        <v>1312</v>
      </c>
    </row>
    <row r="85" spans="1:7" x14ac:dyDescent="0.3">
      <c r="A85" s="48" t="s">
        <v>263</v>
      </c>
      <c r="B85" t="s">
        <v>949</v>
      </c>
      <c r="C85" s="48" t="s">
        <v>1319</v>
      </c>
      <c r="D85" s="48" t="s">
        <v>1320</v>
      </c>
      <c r="E85" s="48" t="s">
        <v>1022</v>
      </c>
      <c r="F85" s="48" t="s">
        <v>1321</v>
      </c>
      <c r="G85" s="48" t="s">
        <v>1322</v>
      </c>
    </row>
    <row r="86" spans="1:7" x14ac:dyDescent="0.3">
      <c r="A86" s="48" t="s">
        <v>263</v>
      </c>
      <c r="B86" t="s">
        <v>999</v>
      </c>
      <c r="C86" s="48" t="s">
        <v>1323</v>
      </c>
      <c r="D86" s="48" t="s">
        <v>1324</v>
      </c>
      <c r="E86" s="48" t="s">
        <v>1002</v>
      </c>
      <c r="F86" s="48" t="s">
        <v>1325</v>
      </c>
      <c r="G86" s="48" t="s">
        <v>1326</v>
      </c>
    </row>
    <row r="87" spans="1:7" x14ac:dyDescent="0.3">
      <c r="A87" s="48" t="s">
        <v>263</v>
      </c>
      <c r="B87" t="s">
        <v>999</v>
      </c>
      <c r="C87" s="48" t="s">
        <v>962</v>
      </c>
      <c r="D87" s="48" t="s">
        <v>1327</v>
      </c>
      <c r="E87" s="48" t="s">
        <v>1002</v>
      </c>
      <c r="F87" s="48" t="s">
        <v>1328</v>
      </c>
      <c r="G87" s="48" t="s">
        <v>1326</v>
      </c>
    </row>
    <row r="88" spans="1:7" x14ac:dyDescent="0.3">
      <c r="A88" s="48" t="s">
        <v>263</v>
      </c>
      <c r="B88" t="s">
        <v>1046</v>
      </c>
      <c r="C88" s="48" t="s">
        <v>1329</v>
      </c>
      <c r="D88" s="48" t="s">
        <v>1330</v>
      </c>
      <c r="E88" s="48" t="s">
        <v>1331</v>
      </c>
      <c r="F88" s="48" t="s">
        <v>1332</v>
      </c>
      <c r="G88" s="48" t="s">
        <v>1333</v>
      </c>
    </row>
    <row r="89" spans="1:7" x14ac:dyDescent="0.3">
      <c r="A89" s="48" t="s">
        <v>263</v>
      </c>
      <c r="B89" t="s">
        <v>949</v>
      </c>
      <c r="C89" s="48" t="s">
        <v>1334</v>
      </c>
      <c r="D89" s="48" t="s">
        <v>1335</v>
      </c>
      <c r="E89" s="48" t="s">
        <v>1022</v>
      </c>
      <c r="F89" s="48" t="s">
        <v>1336</v>
      </c>
      <c r="G89" s="48" t="s">
        <v>1337</v>
      </c>
    </row>
    <row r="90" spans="1:7" x14ac:dyDescent="0.3">
      <c r="A90" s="48" t="s">
        <v>263</v>
      </c>
      <c r="B90" t="s">
        <v>999</v>
      </c>
      <c r="C90" s="48" t="s">
        <v>1338</v>
      </c>
      <c r="D90" s="48" t="s">
        <v>1339</v>
      </c>
      <c r="E90" s="48" t="s">
        <v>1002</v>
      </c>
      <c r="F90" s="48" t="s">
        <v>1340</v>
      </c>
      <c r="G90" s="48" t="s">
        <v>1341</v>
      </c>
    </row>
    <row r="91" spans="1:7" x14ac:dyDescent="0.3">
      <c r="A91" s="48" t="s">
        <v>263</v>
      </c>
      <c r="B91" t="s">
        <v>955</v>
      </c>
      <c r="C91" s="48" t="s">
        <v>1191</v>
      </c>
      <c r="D91" s="48" t="s">
        <v>1342</v>
      </c>
      <c r="E91" s="48" t="s">
        <v>1343</v>
      </c>
      <c r="F91" s="48" t="s">
        <v>1344</v>
      </c>
      <c r="G91" s="48" t="s">
        <v>1345</v>
      </c>
    </row>
    <row r="92" spans="1:7" x14ac:dyDescent="0.3">
      <c r="A92" s="48" t="s">
        <v>263</v>
      </c>
      <c r="B92" t="s">
        <v>990</v>
      </c>
      <c r="C92" s="48" t="s">
        <v>1346</v>
      </c>
      <c r="D92" s="48" t="s">
        <v>1347</v>
      </c>
      <c r="E92" s="48" t="s">
        <v>1348</v>
      </c>
      <c r="F92" s="48" t="s">
        <v>1349</v>
      </c>
      <c r="G92" s="48" t="s">
        <v>1337</v>
      </c>
    </row>
    <row r="93" spans="1:7" x14ac:dyDescent="0.3">
      <c r="A93" s="48" t="s">
        <v>263</v>
      </c>
      <c r="B93" t="s">
        <v>999</v>
      </c>
      <c r="C93" s="48" t="s">
        <v>1350</v>
      </c>
      <c r="D93" s="48" t="s">
        <v>1351</v>
      </c>
      <c r="E93" s="48" t="s">
        <v>1352</v>
      </c>
      <c r="F93" s="48" t="s">
        <v>1353</v>
      </c>
      <c r="G93" s="48" t="s">
        <v>1326</v>
      </c>
    </row>
    <row r="94" spans="1:7" hidden="1" x14ac:dyDescent="0.3">
      <c r="A94" t="s">
        <v>263</v>
      </c>
      <c r="B94" t="s">
        <v>973</v>
      </c>
      <c r="C94" t="s">
        <v>1354</v>
      </c>
      <c r="D94" t="s">
        <v>1355</v>
      </c>
      <c r="E94" t="s">
        <v>1356</v>
      </c>
      <c r="F94" t="s">
        <v>1357</v>
      </c>
      <c r="G94" t="s">
        <v>1358</v>
      </c>
    </row>
    <row r="95" spans="1:7" x14ac:dyDescent="0.3">
      <c r="A95" s="48" t="s">
        <v>263</v>
      </c>
      <c r="B95" t="s">
        <v>979</v>
      </c>
      <c r="C95" s="48" t="s">
        <v>1359</v>
      </c>
      <c r="D95" s="48" t="s">
        <v>1360</v>
      </c>
      <c r="E95" s="48" t="s">
        <v>1361</v>
      </c>
      <c r="F95" s="48" t="s">
        <v>1362</v>
      </c>
      <c r="G95" s="48" t="s">
        <v>1363</v>
      </c>
    </row>
    <row r="96" spans="1:7" x14ac:dyDescent="0.3">
      <c r="A96" s="48" t="s">
        <v>263</v>
      </c>
      <c r="B96" t="s">
        <v>955</v>
      </c>
      <c r="C96" s="48" t="s">
        <v>1364</v>
      </c>
      <c r="D96" s="48" t="s">
        <v>1365</v>
      </c>
      <c r="E96" s="48" t="s">
        <v>1366</v>
      </c>
      <c r="F96" s="48" t="s">
        <v>1367</v>
      </c>
      <c r="G96" s="48" t="s">
        <v>1368</v>
      </c>
    </row>
    <row r="97" spans="1:7" x14ac:dyDescent="0.3">
      <c r="A97" s="48" t="s">
        <v>263</v>
      </c>
      <c r="B97" t="s">
        <v>999</v>
      </c>
      <c r="C97" s="48" t="s">
        <v>1369</v>
      </c>
      <c r="D97" s="48" t="s">
        <v>1351</v>
      </c>
      <c r="E97" s="48" t="s">
        <v>1352</v>
      </c>
      <c r="F97" s="48" t="s">
        <v>1370</v>
      </c>
      <c r="G97" s="48" t="s">
        <v>1326</v>
      </c>
    </row>
    <row r="98" spans="1:7" x14ac:dyDescent="0.3">
      <c r="A98" s="48" t="s">
        <v>263</v>
      </c>
      <c r="B98" t="s">
        <v>979</v>
      </c>
      <c r="C98" s="48" t="s">
        <v>1227</v>
      </c>
      <c r="D98" s="48" t="s">
        <v>1371</v>
      </c>
      <c r="E98" s="48" t="s">
        <v>1372</v>
      </c>
      <c r="F98" s="48" t="s">
        <v>1373</v>
      </c>
      <c r="G98" s="48" t="s">
        <v>1363</v>
      </c>
    </row>
    <row r="99" spans="1:7" x14ac:dyDescent="0.3">
      <c r="A99" t="s">
        <v>1374</v>
      </c>
      <c r="B99" t="s">
        <v>999</v>
      </c>
      <c r="C99" t="s">
        <v>1375</v>
      </c>
      <c r="D99" t="s">
        <v>1376</v>
      </c>
      <c r="E99" t="s">
        <v>1377</v>
      </c>
      <c r="F99" t="s">
        <v>1378</v>
      </c>
      <c r="G99" t="s">
        <v>1379</v>
      </c>
    </row>
    <row r="100" spans="1:7" x14ac:dyDescent="0.3">
      <c r="A100" t="s">
        <v>1374</v>
      </c>
      <c r="B100" t="s">
        <v>949</v>
      </c>
      <c r="C100" t="s">
        <v>1380</v>
      </c>
      <c r="D100" t="s">
        <v>1381</v>
      </c>
      <c r="E100" t="s">
        <v>952</v>
      </c>
      <c r="F100" t="s">
        <v>1382</v>
      </c>
      <c r="G100" t="s">
        <v>954</v>
      </c>
    </row>
    <row r="101" spans="1:7" x14ac:dyDescent="0.3">
      <c r="A101" t="s">
        <v>1374</v>
      </c>
      <c r="B101" t="s">
        <v>990</v>
      </c>
      <c r="C101" t="s">
        <v>1383</v>
      </c>
      <c r="D101" t="s">
        <v>1384</v>
      </c>
      <c r="E101" t="s">
        <v>987</v>
      </c>
      <c r="F101" t="s">
        <v>1385</v>
      </c>
      <c r="G101" t="s">
        <v>1386</v>
      </c>
    </row>
    <row r="102" spans="1:7" x14ac:dyDescent="0.3">
      <c r="A102" t="s">
        <v>1374</v>
      </c>
      <c r="B102" t="s">
        <v>967</v>
      </c>
      <c r="C102" t="s">
        <v>1227</v>
      </c>
      <c r="D102" t="s">
        <v>1387</v>
      </c>
      <c r="E102" t="s">
        <v>1388</v>
      </c>
      <c r="F102" t="s">
        <v>1389</v>
      </c>
      <c r="G102" t="s">
        <v>1390</v>
      </c>
    </row>
    <row r="103" spans="1:7" x14ac:dyDescent="0.3">
      <c r="A103" t="s">
        <v>1374</v>
      </c>
      <c r="B103" t="s">
        <v>967</v>
      </c>
      <c r="C103" t="s">
        <v>1391</v>
      </c>
      <c r="D103" t="s">
        <v>1392</v>
      </c>
      <c r="E103" t="s">
        <v>1393</v>
      </c>
      <c r="F103" t="s">
        <v>1394</v>
      </c>
      <c r="G103" t="s">
        <v>1395</v>
      </c>
    </row>
    <row r="104" spans="1:7" x14ac:dyDescent="0.3">
      <c r="A104" s="48" t="s">
        <v>291</v>
      </c>
      <c r="B104" t="s">
        <v>949</v>
      </c>
      <c r="C104" s="48" t="s">
        <v>1396</v>
      </c>
      <c r="D104" s="48" t="s">
        <v>1397</v>
      </c>
      <c r="E104" s="48" t="s">
        <v>1022</v>
      </c>
      <c r="F104" s="48" t="s">
        <v>1398</v>
      </c>
      <c r="G104" s="48" t="s">
        <v>1399</v>
      </c>
    </row>
    <row r="105" spans="1:7" x14ac:dyDescent="0.3">
      <c r="A105" s="48" t="s">
        <v>291</v>
      </c>
      <c r="B105" t="s">
        <v>999</v>
      </c>
      <c r="C105" s="48" t="s">
        <v>1400</v>
      </c>
      <c r="D105" s="48" t="s">
        <v>1401</v>
      </c>
      <c r="E105" s="48" t="s">
        <v>1402</v>
      </c>
      <c r="F105" s="48" t="s">
        <v>1403</v>
      </c>
      <c r="G105" s="48" t="s">
        <v>1404</v>
      </c>
    </row>
    <row r="106" spans="1:7" x14ac:dyDescent="0.3">
      <c r="A106" s="48" t="s">
        <v>291</v>
      </c>
      <c r="B106" t="s">
        <v>999</v>
      </c>
      <c r="C106" s="48" t="s">
        <v>1405</v>
      </c>
      <c r="D106" s="48" t="s">
        <v>1406</v>
      </c>
      <c r="E106" s="48" t="s">
        <v>1407</v>
      </c>
      <c r="F106" s="48" t="s">
        <v>1408</v>
      </c>
      <c r="G106" s="48" t="s">
        <v>1399</v>
      </c>
    </row>
    <row r="107" spans="1:7" x14ac:dyDescent="0.3">
      <c r="A107" s="48" t="s">
        <v>291</v>
      </c>
      <c r="B107" t="s">
        <v>990</v>
      </c>
      <c r="C107" s="48" t="s">
        <v>1287</v>
      </c>
      <c r="D107" s="48" t="s">
        <v>1145</v>
      </c>
      <c r="E107" s="48" t="s">
        <v>987</v>
      </c>
      <c r="F107" s="48" t="s">
        <v>1409</v>
      </c>
      <c r="G107" s="48" t="s">
        <v>1410</v>
      </c>
    </row>
    <row r="108" spans="1:7" x14ac:dyDescent="0.3">
      <c r="A108" s="48" t="s">
        <v>291</v>
      </c>
      <c r="B108" t="s">
        <v>999</v>
      </c>
      <c r="C108" s="48" t="s">
        <v>1411</v>
      </c>
      <c r="D108" s="48" t="s">
        <v>1412</v>
      </c>
      <c r="E108" s="48" t="s">
        <v>1413</v>
      </c>
      <c r="F108" s="48" t="s">
        <v>1414</v>
      </c>
      <c r="G108" s="48" t="s">
        <v>1404</v>
      </c>
    </row>
    <row r="109" spans="1:7" x14ac:dyDescent="0.3">
      <c r="A109" s="48" t="s">
        <v>291</v>
      </c>
      <c r="B109" t="s">
        <v>999</v>
      </c>
      <c r="C109" s="48" t="s">
        <v>1415</v>
      </c>
      <c r="D109" s="48" t="s">
        <v>1416</v>
      </c>
      <c r="E109" s="48" t="s">
        <v>1417</v>
      </c>
      <c r="F109" s="48" t="s">
        <v>1403</v>
      </c>
      <c r="G109" s="48" t="s">
        <v>1404</v>
      </c>
    </row>
    <row r="110" spans="1:7" x14ac:dyDescent="0.3">
      <c r="A110" t="s">
        <v>295</v>
      </c>
      <c r="B110" t="s">
        <v>949</v>
      </c>
      <c r="C110" t="s">
        <v>1418</v>
      </c>
      <c r="D110" t="s">
        <v>1419</v>
      </c>
      <c r="E110" t="s">
        <v>952</v>
      </c>
      <c r="F110" t="s">
        <v>1420</v>
      </c>
      <c r="G110" t="s">
        <v>1421</v>
      </c>
    </row>
    <row r="111" spans="1:7" hidden="1" x14ac:dyDescent="0.3">
      <c r="A111" t="s">
        <v>295</v>
      </c>
      <c r="B111" t="s">
        <v>949</v>
      </c>
      <c r="C111" t="s">
        <v>1418</v>
      </c>
      <c r="D111" t="s">
        <v>1422</v>
      </c>
      <c r="E111" t="s">
        <v>1022</v>
      </c>
      <c r="G111" t="s">
        <v>1421</v>
      </c>
    </row>
    <row r="112" spans="1:7" x14ac:dyDescent="0.3">
      <c r="A112" t="s">
        <v>295</v>
      </c>
      <c r="B112" t="s">
        <v>955</v>
      </c>
      <c r="C112" t="s">
        <v>1423</v>
      </c>
      <c r="D112" t="s">
        <v>1424</v>
      </c>
      <c r="E112" t="s">
        <v>1425</v>
      </c>
      <c r="F112" t="s">
        <v>1426</v>
      </c>
      <c r="G112" t="s">
        <v>1427</v>
      </c>
    </row>
    <row r="113" spans="1:7" x14ac:dyDescent="0.3">
      <c r="A113" t="s">
        <v>295</v>
      </c>
      <c r="B113" t="s">
        <v>979</v>
      </c>
      <c r="C113" t="s">
        <v>1428</v>
      </c>
      <c r="D113" t="s">
        <v>1429</v>
      </c>
      <c r="E113" t="s">
        <v>1430</v>
      </c>
      <c r="F113" t="s">
        <v>1431</v>
      </c>
      <c r="G113" t="s">
        <v>1432</v>
      </c>
    </row>
    <row r="114" spans="1:7" x14ac:dyDescent="0.3">
      <c r="A114" t="s">
        <v>295</v>
      </c>
      <c r="B114" t="s">
        <v>990</v>
      </c>
      <c r="C114" t="s">
        <v>1433</v>
      </c>
      <c r="D114" t="s">
        <v>1434</v>
      </c>
      <c r="E114" t="s">
        <v>1017</v>
      </c>
      <c r="F114" t="s">
        <v>1435</v>
      </c>
      <c r="G114" t="s">
        <v>1436</v>
      </c>
    </row>
    <row r="115" spans="1:7" x14ac:dyDescent="0.3">
      <c r="A115" t="s">
        <v>295</v>
      </c>
      <c r="B115" t="s">
        <v>967</v>
      </c>
      <c r="C115" t="s">
        <v>1437</v>
      </c>
      <c r="D115" t="s">
        <v>1438</v>
      </c>
      <c r="E115" t="s">
        <v>1439</v>
      </c>
      <c r="F115" t="s">
        <v>1440</v>
      </c>
      <c r="G115" t="s">
        <v>1441</v>
      </c>
    </row>
    <row r="116" spans="1:7" x14ac:dyDescent="0.3">
      <c r="A116" t="s">
        <v>295</v>
      </c>
      <c r="B116" t="s">
        <v>1046</v>
      </c>
      <c r="C116" t="s">
        <v>1442</v>
      </c>
      <c r="D116" t="s">
        <v>1443</v>
      </c>
      <c r="E116" t="s">
        <v>1444</v>
      </c>
      <c r="F116" t="s">
        <v>1445</v>
      </c>
      <c r="G116" t="s">
        <v>1446</v>
      </c>
    </row>
    <row r="117" spans="1:7" x14ac:dyDescent="0.3">
      <c r="A117" t="s">
        <v>295</v>
      </c>
      <c r="B117" t="s">
        <v>990</v>
      </c>
      <c r="C117" t="s">
        <v>1447</v>
      </c>
      <c r="D117" t="s">
        <v>1448</v>
      </c>
      <c r="E117" t="s">
        <v>987</v>
      </c>
      <c r="F117" t="s">
        <v>1449</v>
      </c>
      <c r="G117" t="s">
        <v>1450</v>
      </c>
    </row>
    <row r="118" spans="1:7" x14ac:dyDescent="0.3">
      <c r="A118" t="s">
        <v>295</v>
      </c>
      <c r="B118" t="s">
        <v>979</v>
      </c>
      <c r="C118" t="s">
        <v>1451</v>
      </c>
      <c r="D118" t="s">
        <v>1452</v>
      </c>
      <c r="E118" t="s">
        <v>1453</v>
      </c>
      <c r="F118" t="s">
        <v>1454</v>
      </c>
      <c r="G118" t="s">
        <v>1455</v>
      </c>
    </row>
    <row r="119" spans="1:7" x14ac:dyDescent="0.3">
      <c r="A119" t="s">
        <v>295</v>
      </c>
      <c r="B119" t="s">
        <v>979</v>
      </c>
      <c r="C119" t="s">
        <v>1456</v>
      </c>
      <c r="D119" t="s">
        <v>1457</v>
      </c>
      <c r="E119" t="s">
        <v>1198</v>
      </c>
      <c r="F119" t="s">
        <v>1458</v>
      </c>
      <c r="G119" t="s">
        <v>1432</v>
      </c>
    </row>
    <row r="120" spans="1:7" x14ac:dyDescent="0.3">
      <c r="A120" t="s">
        <v>295</v>
      </c>
      <c r="B120" t="s">
        <v>999</v>
      </c>
      <c r="C120" t="s">
        <v>1459</v>
      </c>
      <c r="D120" t="s">
        <v>1460</v>
      </c>
      <c r="E120" t="s">
        <v>1461</v>
      </c>
      <c r="F120" t="s">
        <v>1462</v>
      </c>
      <c r="G120" t="s">
        <v>1463</v>
      </c>
    </row>
    <row r="121" spans="1:7" x14ac:dyDescent="0.3">
      <c r="A121" t="s">
        <v>295</v>
      </c>
      <c r="B121" t="s">
        <v>961</v>
      </c>
      <c r="C121" t="s">
        <v>1464</v>
      </c>
      <c r="D121" t="s">
        <v>1465</v>
      </c>
      <c r="E121" t="s">
        <v>1466</v>
      </c>
      <c r="F121" t="s">
        <v>1467</v>
      </c>
      <c r="G121" t="s">
        <v>1468</v>
      </c>
    </row>
    <row r="122" spans="1:7" x14ac:dyDescent="0.3">
      <c r="A122" s="48" t="s">
        <v>310</v>
      </c>
      <c r="B122" t="s">
        <v>949</v>
      </c>
      <c r="C122" s="48" t="s">
        <v>1469</v>
      </c>
      <c r="D122" s="48" t="s">
        <v>1470</v>
      </c>
      <c r="E122" s="48" t="s">
        <v>1471</v>
      </c>
      <c r="F122" s="48" t="s">
        <v>1472</v>
      </c>
      <c r="G122" s="48" t="s">
        <v>954</v>
      </c>
    </row>
    <row r="123" spans="1:7" x14ac:dyDescent="0.3">
      <c r="A123" s="48" t="s">
        <v>310</v>
      </c>
      <c r="B123" t="s">
        <v>999</v>
      </c>
      <c r="C123" s="48" t="s">
        <v>1473</v>
      </c>
      <c r="D123" s="48" t="s">
        <v>1063</v>
      </c>
      <c r="E123" s="48" t="s">
        <v>1474</v>
      </c>
      <c r="F123" s="48" t="s">
        <v>1475</v>
      </c>
      <c r="G123" s="48" t="s">
        <v>954</v>
      </c>
    </row>
    <row r="124" spans="1:7" x14ac:dyDescent="0.3">
      <c r="A124" s="48" t="s">
        <v>310</v>
      </c>
      <c r="B124" t="s">
        <v>990</v>
      </c>
      <c r="C124" s="48" t="s">
        <v>1476</v>
      </c>
      <c r="D124" s="48" t="s">
        <v>1477</v>
      </c>
      <c r="E124" s="48" t="s">
        <v>987</v>
      </c>
      <c r="F124" s="48" t="s">
        <v>1478</v>
      </c>
      <c r="G124" s="48" t="s">
        <v>1479</v>
      </c>
    </row>
    <row r="125" spans="1:7" x14ac:dyDescent="0.3">
      <c r="A125" s="48" t="s">
        <v>310</v>
      </c>
      <c r="B125" t="s">
        <v>999</v>
      </c>
      <c r="C125" s="48" t="s">
        <v>1411</v>
      </c>
      <c r="D125" s="48" t="s">
        <v>1480</v>
      </c>
      <c r="E125" s="48" t="s">
        <v>1481</v>
      </c>
      <c r="F125" s="48" t="s">
        <v>1482</v>
      </c>
      <c r="G125" s="48" t="s">
        <v>1483</v>
      </c>
    </row>
    <row r="126" spans="1:7" hidden="1" x14ac:dyDescent="0.3">
      <c r="A126" t="s">
        <v>324</v>
      </c>
      <c r="B126" t="s">
        <v>1014</v>
      </c>
      <c r="C126" t="s">
        <v>1484</v>
      </c>
      <c r="D126" t="s">
        <v>1485</v>
      </c>
      <c r="E126" t="s">
        <v>1017</v>
      </c>
      <c r="G126" t="s">
        <v>1486</v>
      </c>
    </row>
    <row r="127" spans="1:7" x14ac:dyDescent="0.3">
      <c r="A127" t="s">
        <v>324</v>
      </c>
      <c r="B127" t="s">
        <v>949</v>
      </c>
      <c r="C127" t="s">
        <v>1487</v>
      </c>
      <c r="D127" t="s">
        <v>1063</v>
      </c>
      <c r="E127" t="s">
        <v>1488</v>
      </c>
      <c r="F127" t="s">
        <v>1489</v>
      </c>
      <c r="G127" t="s">
        <v>1486</v>
      </c>
    </row>
    <row r="128" spans="1:7" x14ac:dyDescent="0.3">
      <c r="A128" t="s">
        <v>324</v>
      </c>
      <c r="B128" t="s">
        <v>967</v>
      </c>
      <c r="C128" t="s">
        <v>1354</v>
      </c>
      <c r="D128" t="s">
        <v>1490</v>
      </c>
      <c r="E128" t="s">
        <v>1491</v>
      </c>
      <c r="F128" t="s">
        <v>1492</v>
      </c>
      <c r="G128" t="s">
        <v>1493</v>
      </c>
    </row>
    <row r="129" spans="1:7" x14ac:dyDescent="0.3">
      <c r="A129" t="s">
        <v>324</v>
      </c>
      <c r="B129" t="s">
        <v>949</v>
      </c>
      <c r="C129" t="s">
        <v>1487</v>
      </c>
      <c r="D129" t="s">
        <v>1494</v>
      </c>
      <c r="E129" t="s">
        <v>952</v>
      </c>
      <c r="F129" t="s">
        <v>1495</v>
      </c>
      <c r="G129" t="s">
        <v>1486</v>
      </c>
    </row>
    <row r="130" spans="1:7" hidden="1" x14ac:dyDescent="0.3">
      <c r="A130" t="s">
        <v>764</v>
      </c>
      <c r="B130" t="s">
        <v>949</v>
      </c>
      <c r="C130" t="s">
        <v>1496</v>
      </c>
      <c r="D130" t="s">
        <v>1497</v>
      </c>
      <c r="E130" t="s">
        <v>952</v>
      </c>
      <c r="G130" t="s">
        <v>1498</v>
      </c>
    </row>
    <row r="131" spans="1:7" hidden="1" x14ac:dyDescent="0.3">
      <c r="A131" t="s">
        <v>764</v>
      </c>
      <c r="B131" t="s">
        <v>1046</v>
      </c>
      <c r="C131" t="s">
        <v>1354</v>
      </c>
      <c r="D131" t="s">
        <v>1499</v>
      </c>
      <c r="E131" t="s">
        <v>1500</v>
      </c>
      <c r="G131" t="s">
        <v>1501</v>
      </c>
    </row>
    <row r="132" spans="1:7" x14ac:dyDescent="0.3">
      <c r="A132" s="48" t="s">
        <v>764</v>
      </c>
      <c r="B132" t="s">
        <v>999</v>
      </c>
      <c r="C132" s="48" t="s">
        <v>1502</v>
      </c>
      <c r="D132" s="48" t="s">
        <v>1503</v>
      </c>
      <c r="E132" s="48" t="s">
        <v>1504</v>
      </c>
      <c r="F132" s="48" t="s">
        <v>1505</v>
      </c>
      <c r="G132" s="48" t="s">
        <v>1506</v>
      </c>
    </row>
    <row r="133" spans="1:7" x14ac:dyDescent="0.3">
      <c r="A133" s="48" t="s">
        <v>764</v>
      </c>
      <c r="B133" t="s">
        <v>955</v>
      </c>
      <c r="C133" s="48" t="s">
        <v>1507</v>
      </c>
      <c r="D133" s="48" t="s">
        <v>1508</v>
      </c>
      <c r="E133" s="48" t="s">
        <v>1509</v>
      </c>
      <c r="F133" s="48" t="s">
        <v>1510</v>
      </c>
      <c r="G133" s="48" t="s">
        <v>1511</v>
      </c>
    </row>
    <row r="134" spans="1:7" x14ac:dyDescent="0.3">
      <c r="A134" s="48" t="s">
        <v>764</v>
      </c>
      <c r="B134" t="s">
        <v>999</v>
      </c>
      <c r="C134" s="48" t="s">
        <v>1512</v>
      </c>
      <c r="D134" s="48" t="s">
        <v>1513</v>
      </c>
      <c r="E134" s="48" t="s">
        <v>1504</v>
      </c>
      <c r="F134" s="48" t="s">
        <v>1514</v>
      </c>
      <c r="G134" s="48" t="s">
        <v>1515</v>
      </c>
    </row>
    <row r="135" spans="1:7" hidden="1" x14ac:dyDescent="0.3">
      <c r="A135" t="s">
        <v>764</v>
      </c>
      <c r="B135" t="s">
        <v>999</v>
      </c>
      <c r="C135" t="s">
        <v>1191</v>
      </c>
      <c r="D135" t="s">
        <v>1516</v>
      </c>
      <c r="E135" t="s">
        <v>1504</v>
      </c>
      <c r="G135" t="s">
        <v>1517</v>
      </c>
    </row>
    <row r="136" spans="1:7" x14ac:dyDescent="0.3">
      <c r="A136" s="48" t="s">
        <v>764</v>
      </c>
      <c r="B136" t="s">
        <v>1046</v>
      </c>
      <c r="C136" s="48" t="s">
        <v>1518</v>
      </c>
      <c r="D136" s="48" t="s">
        <v>1519</v>
      </c>
      <c r="E136" s="48" t="s">
        <v>1500</v>
      </c>
      <c r="F136" s="48" t="s">
        <v>1520</v>
      </c>
      <c r="G136" s="48" t="s">
        <v>1521</v>
      </c>
    </row>
    <row r="137" spans="1:7" x14ac:dyDescent="0.3">
      <c r="A137" s="48" t="s">
        <v>764</v>
      </c>
      <c r="B137" t="s">
        <v>949</v>
      </c>
      <c r="C137" s="48" t="s">
        <v>1522</v>
      </c>
      <c r="D137" s="48" t="s">
        <v>1497</v>
      </c>
      <c r="E137" s="48" t="s">
        <v>1022</v>
      </c>
      <c r="F137" s="48" t="s">
        <v>1523</v>
      </c>
      <c r="G137" s="48" t="s">
        <v>1524</v>
      </c>
    </row>
    <row r="138" spans="1:7" x14ac:dyDescent="0.3">
      <c r="A138" s="48" t="s">
        <v>764</v>
      </c>
      <c r="B138" t="s">
        <v>999</v>
      </c>
      <c r="C138" s="48" t="s">
        <v>1525</v>
      </c>
      <c r="D138" s="48" t="s">
        <v>1526</v>
      </c>
      <c r="E138" s="48" t="s">
        <v>1527</v>
      </c>
      <c r="F138" s="48" t="s">
        <v>1528</v>
      </c>
      <c r="G138" s="48" t="s">
        <v>1529</v>
      </c>
    </row>
    <row r="139" spans="1:7" hidden="1" x14ac:dyDescent="0.3">
      <c r="A139" t="s">
        <v>764</v>
      </c>
      <c r="B139" t="s">
        <v>990</v>
      </c>
      <c r="C139" t="s">
        <v>1530</v>
      </c>
      <c r="D139" t="s">
        <v>1531</v>
      </c>
      <c r="E139" t="s">
        <v>1099</v>
      </c>
      <c r="G139" t="s">
        <v>1532</v>
      </c>
    </row>
    <row r="140" spans="1:7" x14ac:dyDescent="0.3">
      <c r="A140" s="48" t="s">
        <v>764</v>
      </c>
      <c r="B140" t="s">
        <v>961</v>
      </c>
      <c r="C140" s="48" t="s">
        <v>1533</v>
      </c>
      <c r="D140" s="48" t="s">
        <v>1534</v>
      </c>
      <c r="E140" s="48" t="s">
        <v>1535</v>
      </c>
      <c r="F140" s="48" t="s">
        <v>1536</v>
      </c>
      <c r="G140" s="48" t="s">
        <v>1537</v>
      </c>
    </row>
    <row r="141" spans="1:7" x14ac:dyDescent="0.3">
      <c r="A141" s="48" t="s">
        <v>764</v>
      </c>
      <c r="B141" t="s">
        <v>999</v>
      </c>
      <c r="C141" s="48" t="s">
        <v>1538</v>
      </c>
      <c r="D141" s="48" t="s">
        <v>1539</v>
      </c>
      <c r="E141" s="48" t="s">
        <v>1540</v>
      </c>
      <c r="F141" s="48" t="s">
        <v>1541</v>
      </c>
      <c r="G141" s="48" t="s">
        <v>1542</v>
      </c>
    </row>
    <row r="142" spans="1:7" x14ac:dyDescent="0.3">
      <c r="A142" t="s">
        <v>770</v>
      </c>
      <c r="B142" t="s">
        <v>949</v>
      </c>
      <c r="C142" t="s">
        <v>1543</v>
      </c>
      <c r="D142" t="s">
        <v>1544</v>
      </c>
      <c r="E142" t="s">
        <v>1022</v>
      </c>
      <c r="F142" t="s">
        <v>1545</v>
      </c>
      <c r="G142" t="s">
        <v>1546</v>
      </c>
    </row>
    <row r="143" spans="1:7" hidden="1" x14ac:dyDescent="0.3">
      <c r="A143" t="s">
        <v>770</v>
      </c>
      <c r="B143" t="s">
        <v>979</v>
      </c>
      <c r="C143" t="s">
        <v>1547</v>
      </c>
      <c r="D143" t="s">
        <v>1548</v>
      </c>
      <c r="E143" t="s">
        <v>1274</v>
      </c>
      <c r="G143" t="s">
        <v>1549</v>
      </c>
    </row>
    <row r="144" spans="1:7" hidden="1" x14ac:dyDescent="0.3">
      <c r="A144" t="s">
        <v>770</v>
      </c>
      <c r="B144" t="s">
        <v>990</v>
      </c>
      <c r="C144" t="s">
        <v>1550</v>
      </c>
      <c r="D144" t="s">
        <v>1551</v>
      </c>
      <c r="E144" t="s">
        <v>987</v>
      </c>
      <c r="G144" t="s">
        <v>1552</v>
      </c>
    </row>
    <row r="145" spans="1:7" x14ac:dyDescent="0.3">
      <c r="A145" t="s">
        <v>770</v>
      </c>
      <c r="B145" t="s">
        <v>967</v>
      </c>
      <c r="C145" t="s">
        <v>1302</v>
      </c>
      <c r="D145" t="s">
        <v>1553</v>
      </c>
      <c r="E145" t="s">
        <v>1554</v>
      </c>
      <c r="F145" t="s">
        <v>1555</v>
      </c>
      <c r="G145" t="s">
        <v>1556</v>
      </c>
    </row>
    <row r="146" spans="1:7" hidden="1" x14ac:dyDescent="0.3">
      <c r="A146" t="s">
        <v>770</v>
      </c>
      <c r="B146" t="s">
        <v>990</v>
      </c>
      <c r="C146" t="s">
        <v>1116</v>
      </c>
      <c r="D146" t="s">
        <v>1557</v>
      </c>
      <c r="E146" t="s">
        <v>1558</v>
      </c>
      <c r="G146" t="s">
        <v>1559</v>
      </c>
    </row>
    <row r="147" spans="1:7" x14ac:dyDescent="0.3">
      <c r="A147" t="s">
        <v>770</v>
      </c>
      <c r="B147" t="s">
        <v>990</v>
      </c>
      <c r="C147" t="s">
        <v>1214</v>
      </c>
      <c r="D147" t="s">
        <v>1150</v>
      </c>
      <c r="E147" t="s">
        <v>1560</v>
      </c>
      <c r="F147" t="s">
        <v>1561</v>
      </c>
      <c r="G147" t="s">
        <v>1562</v>
      </c>
    </row>
    <row r="148" spans="1:7" x14ac:dyDescent="0.3">
      <c r="A148" s="48" t="s">
        <v>774</v>
      </c>
      <c r="B148" t="s">
        <v>949</v>
      </c>
      <c r="C148" s="48" t="s">
        <v>1563</v>
      </c>
      <c r="D148" s="48" t="s">
        <v>1564</v>
      </c>
      <c r="E148" s="48" t="s">
        <v>952</v>
      </c>
      <c r="F148" s="48" t="s">
        <v>1565</v>
      </c>
      <c r="G148" s="48" t="s">
        <v>954</v>
      </c>
    </row>
    <row r="149" spans="1:7" x14ac:dyDescent="0.3">
      <c r="A149" s="48" t="s">
        <v>774</v>
      </c>
      <c r="B149" t="s">
        <v>1046</v>
      </c>
      <c r="C149" s="48" t="s">
        <v>1054</v>
      </c>
      <c r="D149" s="48" t="s">
        <v>1566</v>
      </c>
      <c r="E149" s="48" t="s">
        <v>1567</v>
      </c>
      <c r="F149" s="48" t="s">
        <v>1568</v>
      </c>
      <c r="G149" s="48" t="s">
        <v>1569</v>
      </c>
    </row>
    <row r="150" spans="1:7" hidden="1" x14ac:dyDescent="0.3">
      <c r="A150" t="s">
        <v>774</v>
      </c>
      <c r="B150" t="s">
        <v>999</v>
      </c>
      <c r="C150" t="s">
        <v>1570</v>
      </c>
      <c r="D150" t="s">
        <v>1571</v>
      </c>
      <c r="E150" t="s">
        <v>1146</v>
      </c>
      <c r="G150" t="s">
        <v>1572</v>
      </c>
    </row>
    <row r="151" spans="1:7" hidden="1" x14ac:dyDescent="0.3">
      <c r="A151" t="s">
        <v>774</v>
      </c>
      <c r="B151" t="s">
        <v>984</v>
      </c>
      <c r="C151" t="s">
        <v>1009</v>
      </c>
      <c r="D151" t="s">
        <v>1573</v>
      </c>
      <c r="E151" t="s">
        <v>1574</v>
      </c>
      <c r="G151" t="s">
        <v>1575</v>
      </c>
    </row>
    <row r="152" spans="1:7" x14ac:dyDescent="0.3">
      <c r="A152" s="48" t="s">
        <v>774</v>
      </c>
      <c r="B152" t="s">
        <v>979</v>
      </c>
      <c r="C152" s="48" t="s">
        <v>1576</v>
      </c>
      <c r="D152" s="48" t="s">
        <v>1577</v>
      </c>
      <c r="E152" s="48" t="s">
        <v>1578</v>
      </c>
      <c r="F152" s="48" t="s">
        <v>1579</v>
      </c>
      <c r="G152" s="48" t="s">
        <v>1580</v>
      </c>
    </row>
    <row r="153" spans="1:7" x14ac:dyDescent="0.3">
      <c r="A153" t="s">
        <v>1581</v>
      </c>
      <c r="B153" t="s">
        <v>967</v>
      </c>
      <c r="C153" t="s">
        <v>1582</v>
      </c>
      <c r="D153" t="s">
        <v>1583</v>
      </c>
      <c r="E153" t="s">
        <v>1584</v>
      </c>
      <c r="F153" t="s">
        <v>1585</v>
      </c>
      <c r="G153" t="s">
        <v>1586</v>
      </c>
    </row>
    <row r="154" spans="1:7" x14ac:dyDescent="0.3">
      <c r="A154" t="s">
        <v>1581</v>
      </c>
      <c r="B154" t="s">
        <v>990</v>
      </c>
      <c r="C154" t="s">
        <v>1587</v>
      </c>
      <c r="D154" t="s">
        <v>1259</v>
      </c>
      <c r="E154" t="s">
        <v>1588</v>
      </c>
      <c r="F154" t="s">
        <v>1589</v>
      </c>
      <c r="G154" t="s">
        <v>1586</v>
      </c>
    </row>
    <row r="155" spans="1:7" x14ac:dyDescent="0.3">
      <c r="A155" t="s">
        <v>1581</v>
      </c>
      <c r="B155" t="s">
        <v>1014</v>
      </c>
      <c r="C155" t="s">
        <v>1590</v>
      </c>
      <c r="D155" t="s">
        <v>1591</v>
      </c>
      <c r="E155" t="s">
        <v>1592</v>
      </c>
      <c r="F155" t="s">
        <v>1593</v>
      </c>
      <c r="G155" t="s">
        <v>1594</v>
      </c>
    </row>
    <row r="156" spans="1:7" x14ac:dyDescent="0.3">
      <c r="A156" t="s">
        <v>1581</v>
      </c>
      <c r="B156" t="s">
        <v>979</v>
      </c>
      <c r="C156" t="s">
        <v>1451</v>
      </c>
      <c r="D156" t="s">
        <v>1595</v>
      </c>
      <c r="E156" t="s">
        <v>1596</v>
      </c>
      <c r="F156" t="s">
        <v>1597</v>
      </c>
      <c r="G156" t="s">
        <v>1598</v>
      </c>
    </row>
    <row r="157" spans="1:7" x14ac:dyDescent="0.3">
      <c r="A157" t="s">
        <v>1581</v>
      </c>
      <c r="B157" t="s">
        <v>999</v>
      </c>
      <c r="C157" t="s">
        <v>1599</v>
      </c>
      <c r="D157" t="s">
        <v>1600</v>
      </c>
      <c r="E157" t="s">
        <v>1601</v>
      </c>
      <c r="F157" t="s">
        <v>1602</v>
      </c>
      <c r="G157" t="s">
        <v>1603</v>
      </c>
    </row>
    <row r="158" spans="1:7" x14ac:dyDescent="0.3">
      <c r="A158" t="s">
        <v>1581</v>
      </c>
      <c r="B158" t="s">
        <v>949</v>
      </c>
      <c r="C158" t="s">
        <v>1604</v>
      </c>
      <c r="D158" t="s">
        <v>1605</v>
      </c>
      <c r="E158" t="s">
        <v>1022</v>
      </c>
      <c r="F158" t="s">
        <v>1606</v>
      </c>
      <c r="G158" t="s">
        <v>954</v>
      </c>
    </row>
    <row r="159" spans="1:7" x14ac:dyDescent="0.3">
      <c r="A159" t="s">
        <v>1581</v>
      </c>
      <c r="B159" t="s">
        <v>955</v>
      </c>
      <c r="C159" t="s">
        <v>1607</v>
      </c>
      <c r="D159" t="s">
        <v>1259</v>
      </c>
      <c r="E159" t="s">
        <v>1608</v>
      </c>
      <c r="F159" t="s">
        <v>1609</v>
      </c>
      <c r="G159" t="s">
        <v>1610</v>
      </c>
    </row>
    <row r="160" spans="1:7" x14ac:dyDescent="0.3">
      <c r="A160" t="s">
        <v>1581</v>
      </c>
      <c r="B160" t="s">
        <v>955</v>
      </c>
      <c r="C160" t="s">
        <v>1262</v>
      </c>
      <c r="D160" t="s">
        <v>1259</v>
      </c>
      <c r="E160" t="s">
        <v>1611</v>
      </c>
      <c r="F160" t="s">
        <v>1612</v>
      </c>
      <c r="G160" t="s">
        <v>1586</v>
      </c>
    </row>
    <row r="161" spans="1:7" x14ac:dyDescent="0.3">
      <c r="A161" t="s">
        <v>1581</v>
      </c>
      <c r="B161" t="s">
        <v>967</v>
      </c>
      <c r="C161" t="s">
        <v>1613</v>
      </c>
      <c r="D161" t="s">
        <v>1614</v>
      </c>
      <c r="E161" t="s">
        <v>1615</v>
      </c>
      <c r="F161" t="s">
        <v>1616</v>
      </c>
      <c r="G161" t="s">
        <v>1617</v>
      </c>
    </row>
    <row r="162" spans="1:7" x14ac:dyDescent="0.3">
      <c r="A162" t="s">
        <v>1581</v>
      </c>
      <c r="B162" t="s">
        <v>984</v>
      </c>
      <c r="C162" t="s">
        <v>1618</v>
      </c>
      <c r="D162" t="s">
        <v>1614</v>
      </c>
      <c r="E162" t="s">
        <v>1619</v>
      </c>
      <c r="F162" t="s">
        <v>1620</v>
      </c>
      <c r="G162" t="s">
        <v>1621</v>
      </c>
    </row>
    <row r="163" spans="1:7" x14ac:dyDescent="0.3">
      <c r="A163" s="48" t="s">
        <v>1622</v>
      </c>
      <c r="B163" t="s">
        <v>979</v>
      </c>
      <c r="C163" s="48" t="s">
        <v>1623</v>
      </c>
      <c r="D163" s="48" t="s">
        <v>1624</v>
      </c>
      <c r="E163" s="48" t="s">
        <v>1625</v>
      </c>
      <c r="F163" s="48" t="s">
        <v>1626</v>
      </c>
      <c r="G163" s="48" t="s">
        <v>1627</v>
      </c>
    </row>
    <row r="164" spans="1:7" x14ac:dyDescent="0.3">
      <c r="A164" s="48" t="s">
        <v>1622</v>
      </c>
      <c r="B164" t="s">
        <v>999</v>
      </c>
      <c r="C164" s="48" t="s">
        <v>1628</v>
      </c>
      <c r="D164" s="48" t="s">
        <v>1629</v>
      </c>
      <c r="E164" s="48" t="s">
        <v>1630</v>
      </c>
      <c r="F164" s="48" t="s">
        <v>1631</v>
      </c>
      <c r="G164" s="48" t="s">
        <v>1632</v>
      </c>
    </row>
    <row r="165" spans="1:7" x14ac:dyDescent="0.3">
      <c r="A165" s="48" t="s">
        <v>1622</v>
      </c>
      <c r="B165" t="s">
        <v>949</v>
      </c>
      <c r="C165" s="48" t="s">
        <v>1633</v>
      </c>
      <c r="D165" s="48" t="s">
        <v>1634</v>
      </c>
      <c r="E165" s="48" t="s">
        <v>952</v>
      </c>
      <c r="F165" s="48" t="s">
        <v>1635</v>
      </c>
      <c r="G165" s="48" t="s">
        <v>1636</v>
      </c>
    </row>
    <row r="166" spans="1:7" x14ac:dyDescent="0.3">
      <c r="A166" s="48" t="s">
        <v>1622</v>
      </c>
      <c r="B166" t="s">
        <v>1014</v>
      </c>
      <c r="C166" s="48" t="s">
        <v>1637</v>
      </c>
      <c r="D166" s="48" t="s">
        <v>1638</v>
      </c>
      <c r="E166" s="48" t="s">
        <v>1639</v>
      </c>
      <c r="F166" s="48" t="s">
        <v>1640</v>
      </c>
      <c r="G166" s="48" t="s">
        <v>1641</v>
      </c>
    </row>
    <row r="167" spans="1:7" x14ac:dyDescent="0.3">
      <c r="A167" t="s">
        <v>339</v>
      </c>
      <c r="B167" t="s">
        <v>990</v>
      </c>
      <c r="C167" t="s">
        <v>1550</v>
      </c>
      <c r="D167" t="s">
        <v>1642</v>
      </c>
      <c r="E167" t="s">
        <v>1643</v>
      </c>
      <c r="F167" t="s">
        <v>1644</v>
      </c>
      <c r="G167" t="s">
        <v>1645</v>
      </c>
    </row>
    <row r="168" spans="1:7" hidden="1" x14ac:dyDescent="0.3">
      <c r="A168" t="s">
        <v>339</v>
      </c>
      <c r="B168" t="s">
        <v>999</v>
      </c>
      <c r="C168" t="s">
        <v>1646</v>
      </c>
      <c r="D168" t="s">
        <v>1647</v>
      </c>
      <c r="E168" t="s">
        <v>1647</v>
      </c>
      <c r="G168" t="s">
        <v>1648</v>
      </c>
    </row>
    <row r="169" spans="1:7" hidden="1" x14ac:dyDescent="0.3">
      <c r="A169" t="s">
        <v>339</v>
      </c>
      <c r="B169" t="s">
        <v>1046</v>
      </c>
      <c r="C169" t="s">
        <v>1649</v>
      </c>
      <c r="D169" t="s">
        <v>1650</v>
      </c>
      <c r="E169" t="s">
        <v>1651</v>
      </c>
      <c r="G169" t="s">
        <v>1648</v>
      </c>
    </row>
    <row r="170" spans="1:7" hidden="1" x14ac:dyDescent="0.3">
      <c r="A170" t="s">
        <v>339</v>
      </c>
      <c r="B170" t="s">
        <v>961</v>
      </c>
      <c r="C170" t="s">
        <v>1652</v>
      </c>
      <c r="D170" t="s">
        <v>1653</v>
      </c>
      <c r="E170" t="s">
        <v>1654</v>
      </c>
      <c r="G170" t="s">
        <v>1648</v>
      </c>
    </row>
    <row r="171" spans="1:7" hidden="1" x14ac:dyDescent="0.3">
      <c r="A171" t="s">
        <v>339</v>
      </c>
      <c r="B171" t="s">
        <v>955</v>
      </c>
      <c r="C171" t="s">
        <v>1655</v>
      </c>
      <c r="D171" t="s">
        <v>1656</v>
      </c>
      <c r="E171" t="s">
        <v>1657</v>
      </c>
      <c r="G171" t="s">
        <v>1648</v>
      </c>
    </row>
    <row r="172" spans="1:7" hidden="1" x14ac:dyDescent="0.3">
      <c r="A172" t="s">
        <v>339</v>
      </c>
      <c r="B172" t="s">
        <v>967</v>
      </c>
      <c r="C172" t="s">
        <v>1227</v>
      </c>
      <c r="D172" t="s">
        <v>1658</v>
      </c>
      <c r="E172" t="s">
        <v>1659</v>
      </c>
      <c r="G172" t="s">
        <v>1660</v>
      </c>
    </row>
    <row r="173" spans="1:7" x14ac:dyDescent="0.3">
      <c r="A173" t="s">
        <v>339</v>
      </c>
      <c r="B173" t="s">
        <v>1046</v>
      </c>
      <c r="C173" t="s">
        <v>1223</v>
      </c>
      <c r="D173" t="s">
        <v>1661</v>
      </c>
      <c r="E173" t="s">
        <v>1662</v>
      </c>
      <c r="F173" t="s">
        <v>1663</v>
      </c>
      <c r="G173" t="s">
        <v>1664</v>
      </c>
    </row>
    <row r="174" spans="1:7" x14ac:dyDescent="0.3">
      <c r="A174" t="s">
        <v>339</v>
      </c>
      <c r="B174" t="s">
        <v>961</v>
      </c>
      <c r="C174" t="s">
        <v>1665</v>
      </c>
      <c r="D174" t="s">
        <v>1666</v>
      </c>
      <c r="E174" t="s">
        <v>1667</v>
      </c>
      <c r="F174" t="s">
        <v>1668</v>
      </c>
      <c r="G174" t="s">
        <v>1669</v>
      </c>
    </row>
    <row r="175" spans="1:7" x14ac:dyDescent="0.3">
      <c r="A175" t="s">
        <v>339</v>
      </c>
      <c r="B175" t="s">
        <v>967</v>
      </c>
      <c r="C175" t="s">
        <v>1525</v>
      </c>
      <c r="D175" t="s">
        <v>1670</v>
      </c>
      <c r="E175" t="s">
        <v>1671</v>
      </c>
      <c r="F175" t="s">
        <v>1672</v>
      </c>
      <c r="G175" t="s">
        <v>1648</v>
      </c>
    </row>
    <row r="176" spans="1:7" x14ac:dyDescent="0.3">
      <c r="A176" t="s">
        <v>339</v>
      </c>
      <c r="B176" t="s">
        <v>999</v>
      </c>
      <c r="C176" t="s">
        <v>1673</v>
      </c>
      <c r="D176" t="s">
        <v>1674</v>
      </c>
      <c r="E176" t="s">
        <v>1675</v>
      </c>
      <c r="F176" t="s">
        <v>1676</v>
      </c>
      <c r="G176" t="s">
        <v>1648</v>
      </c>
    </row>
    <row r="177" spans="1:7" x14ac:dyDescent="0.3">
      <c r="A177" t="s">
        <v>339</v>
      </c>
      <c r="B177" t="s">
        <v>979</v>
      </c>
      <c r="C177" t="s">
        <v>1282</v>
      </c>
      <c r="D177" t="s">
        <v>1677</v>
      </c>
      <c r="E177" t="s">
        <v>1678</v>
      </c>
      <c r="F177" t="s">
        <v>1679</v>
      </c>
      <c r="G177" t="s">
        <v>1680</v>
      </c>
    </row>
    <row r="178" spans="1:7" x14ac:dyDescent="0.3">
      <c r="A178" s="48" t="s">
        <v>347</v>
      </c>
      <c r="B178" t="s">
        <v>984</v>
      </c>
      <c r="C178" s="48" t="s">
        <v>1681</v>
      </c>
      <c r="D178" s="48" t="s">
        <v>1682</v>
      </c>
      <c r="E178" s="48" t="s">
        <v>1683</v>
      </c>
      <c r="F178" s="48" t="s">
        <v>1684</v>
      </c>
      <c r="G178" s="48" t="s">
        <v>1685</v>
      </c>
    </row>
    <row r="179" spans="1:7" hidden="1" x14ac:dyDescent="0.3">
      <c r="A179" t="s">
        <v>347</v>
      </c>
      <c r="B179" t="s">
        <v>990</v>
      </c>
      <c r="C179" t="s">
        <v>1686</v>
      </c>
      <c r="D179" t="s">
        <v>1317</v>
      </c>
      <c r="E179" t="s">
        <v>1687</v>
      </c>
      <c r="G179" t="s">
        <v>1685</v>
      </c>
    </row>
    <row r="180" spans="1:7" x14ac:dyDescent="0.3">
      <c r="A180" s="48" t="s">
        <v>347</v>
      </c>
      <c r="B180" t="s">
        <v>967</v>
      </c>
      <c r="C180" s="48" t="s">
        <v>1688</v>
      </c>
      <c r="D180" s="48" t="s">
        <v>1689</v>
      </c>
      <c r="E180" s="48" t="s">
        <v>1690</v>
      </c>
      <c r="F180" s="48" t="s">
        <v>1691</v>
      </c>
      <c r="G180" s="48" t="s">
        <v>1692</v>
      </c>
    </row>
    <row r="181" spans="1:7" x14ac:dyDescent="0.3">
      <c r="A181" s="48" t="s">
        <v>347</v>
      </c>
      <c r="B181" t="s">
        <v>961</v>
      </c>
      <c r="C181" s="48" t="s">
        <v>1693</v>
      </c>
      <c r="D181" s="48" t="s">
        <v>1694</v>
      </c>
      <c r="E181" s="48" t="s">
        <v>1466</v>
      </c>
      <c r="F181" s="48" t="s">
        <v>1695</v>
      </c>
      <c r="G181" s="48" t="s">
        <v>1696</v>
      </c>
    </row>
    <row r="182" spans="1:7" x14ac:dyDescent="0.3">
      <c r="A182" t="s">
        <v>822</v>
      </c>
      <c r="B182" t="s">
        <v>955</v>
      </c>
      <c r="C182" t="s">
        <v>1697</v>
      </c>
      <c r="D182" t="s">
        <v>1698</v>
      </c>
      <c r="E182" t="s">
        <v>1699</v>
      </c>
      <c r="F182" t="s">
        <v>1700</v>
      </c>
      <c r="G182" t="s">
        <v>1701</v>
      </c>
    </row>
    <row r="183" spans="1:7" x14ac:dyDescent="0.3">
      <c r="A183" t="s">
        <v>822</v>
      </c>
      <c r="B183" t="s">
        <v>1046</v>
      </c>
      <c r="C183" t="s">
        <v>1655</v>
      </c>
      <c r="D183" t="s">
        <v>1702</v>
      </c>
      <c r="E183" t="s">
        <v>1703</v>
      </c>
      <c r="F183" t="s">
        <v>1704</v>
      </c>
      <c r="G183" t="s">
        <v>1705</v>
      </c>
    </row>
    <row r="184" spans="1:7" x14ac:dyDescent="0.3">
      <c r="A184" t="s">
        <v>822</v>
      </c>
      <c r="B184" t="s">
        <v>999</v>
      </c>
      <c r="C184" t="s">
        <v>1706</v>
      </c>
      <c r="D184" t="s">
        <v>1707</v>
      </c>
      <c r="E184" t="s">
        <v>1708</v>
      </c>
      <c r="F184" t="s">
        <v>1709</v>
      </c>
      <c r="G184" t="s">
        <v>1705</v>
      </c>
    </row>
    <row r="185" spans="1:7" x14ac:dyDescent="0.3">
      <c r="A185" t="s">
        <v>822</v>
      </c>
      <c r="B185" t="s">
        <v>949</v>
      </c>
      <c r="C185" t="s">
        <v>1710</v>
      </c>
      <c r="D185" t="s">
        <v>1711</v>
      </c>
      <c r="E185" t="s">
        <v>1022</v>
      </c>
      <c r="F185" t="s">
        <v>1712</v>
      </c>
      <c r="G185" t="s">
        <v>954</v>
      </c>
    </row>
    <row r="186" spans="1:7" x14ac:dyDescent="0.3">
      <c r="A186" t="s">
        <v>822</v>
      </c>
      <c r="B186" t="s">
        <v>1046</v>
      </c>
      <c r="C186" t="s">
        <v>1697</v>
      </c>
      <c r="D186" t="s">
        <v>1713</v>
      </c>
      <c r="E186" t="s">
        <v>1714</v>
      </c>
      <c r="F186" t="s">
        <v>1715</v>
      </c>
      <c r="G186" t="s">
        <v>1705</v>
      </c>
    </row>
    <row r="187" spans="1:7" x14ac:dyDescent="0.3">
      <c r="A187" t="s">
        <v>822</v>
      </c>
      <c r="B187" t="s">
        <v>999</v>
      </c>
      <c r="C187" t="s">
        <v>1716</v>
      </c>
      <c r="D187" t="s">
        <v>1717</v>
      </c>
      <c r="E187" t="s">
        <v>1718</v>
      </c>
      <c r="F187" t="s">
        <v>1719</v>
      </c>
      <c r="G187" t="s">
        <v>1720</v>
      </c>
    </row>
    <row r="188" spans="1:7" x14ac:dyDescent="0.3">
      <c r="A188" t="s">
        <v>822</v>
      </c>
      <c r="B188" t="s">
        <v>979</v>
      </c>
      <c r="C188" t="s">
        <v>1721</v>
      </c>
      <c r="D188" t="s">
        <v>1722</v>
      </c>
      <c r="E188" t="s">
        <v>1723</v>
      </c>
      <c r="F188" t="s">
        <v>1724</v>
      </c>
      <c r="G188" t="s">
        <v>1725</v>
      </c>
    </row>
    <row r="189" spans="1:7" x14ac:dyDescent="0.3">
      <c r="A189" t="s">
        <v>822</v>
      </c>
      <c r="B189" t="s">
        <v>961</v>
      </c>
      <c r="C189" t="s">
        <v>1277</v>
      </c>
      <c r="D189" t="s">
        <v>1726</v>
      </c>
      <c r="E189" t="s">
        <v>964</v>
      </c>
      <c r="F189" t="s">
        <v>1727</v>
      </c>
      <c r="G189" t="s">
        <v>1728</v>
      </c>
    </row>
    <row r="190" spans="1:7" x14ac:dyDescent="0.3">
      <c r="A190" s="48" t="s">
        <v>366</v>
      </c>
      <c r="B190" t="s">
        <v>955</v>
      </c>
      <c r="C190" s="48" t="s">
        <v>1729</v>
      </c>
      <c r="D190" s="48" t="s">
        <v>1730</v>
      </c>
      <c r="E190" s="48" t="s">
        <v>1731</v>
      </c>
      <c r="F190" s="48" t="s">
        <v>1732</v>
      </c>
      <c r="G190" s="48" t="s">
        <v>1733</v>
      </c>
    </row>
    <row r="191" spans="1:7" x14ac:dyDescent="0.3">
      <c r="A191" s="48" t="s">
        <v>366</v>
      </c>
      <c r="B191" t="s">
        <v>1046</v>
      </c>
      <c r="C191" s="48" t="s">
        <v>1538</v>
      </c>
      <c r="D191" s="48" t="s">
        <v>1734</v>
      </c>
      <c r="E191" s="48" t="s">
        <v>1735</v>
      </c>
      <c r="F191" s="48" t="s">
        <v>1736</v>
      </c>
      <c r="G191" s="48" t="s">
        <v>1733</v>
      </c>
    </row>
    <row r="192" spans="1:7" hidden="1" x14ac:dyDescent="0.3">
      <c r="A192" t="s">
        <v>366</v>
      </c>
      <c r="B192" t="s">
        <v>999</v>
      </c>
      <c r="C192" t="s">
        <v>1737</v>
      </c>
      <c r="D192" t="s">
        <v>1738</v>
      </c>
      <c r="E192" t="s">
        <v>1739</v>
      </c>
      <c r="G192" t="s">
        <v>1733</v>
      </c>
    </row>
    <row r="193" spans="1:7" x14ac:dyDescent="0.3">
      <c r="A193" s="48" t="s">
        <v>366</v>
      </c>
      <c r="B193" t="s">
        <v>949</v>
      </c>
      <c r="C193" s="48" t="s">
        <v>1054</v>
      </c>
      <c r="D193" s="48" t="s">
        <v>1140</v>
      </c>
      <c r="E193" s="48" t="s">
        <v>952</v>
      </c>
      <c r="F193" s="48" t="s">
        <v>1740</v>
      </c>
      <c r="G193" s="48" t="s">
        <v>1733</v>
      </c>
    </row>
    <row r="194" spans="1:7" x14ac:dyDescent="0.3">
      <c r="A194" s="48" t="s">
        <v>366</v>
      </c>
      <c r="B194" t="s">
        <v>999</v>
      </c>
      <c r="C194" s="48" t="s">
        <v>1741</v>
      </c>
      <c r="D194" s="48" t="s">
        <v>1742</v>
      </c>
      <c r="E194" s="48" t="s">
        <v>1743</v>
      </c>
      <c r="F194" s="48" t="s">
        <v>1744</v>
      </c>
      <c r="G194" s="48" t="s">
        <v>1733</v>
      </c>
    </row>
    <row r="195" spans="1:7" x14ac:dyDescent="0.3">
      <c r="A195" s="48" t="s">
        <v>366</v>
      </c>
      <c r="B195" t="s">
        <v>979</v>
      </c>
      <c r="C195" s="48" t="s">
        <v>1334</v>
      </c>
      <c r="D195" s="48" t="s">
        <v>1745</v>
      </c>
      <c r="E195" s="48" t="s">
        <v>1361</v>
      </c>
      <c r="F195" s="48" t="s">
        <v>1746</v>
      </c>
      <c r="G195" s="48" t="s">
        <v>1733</v>
      </c>
    </row>
    <row r="196" spans="1:7" x14ac:dyDescent="0.3">
      <c r="A196" s="48" t="s">
        <v>366</v>
      </c>
      <c r="B196" t="s">
        <v>967</v>
      </c>
      <c r="C196" s="48" t="s">
        <v>1747</v>
      </c>
      <c r="D196" s="48" t="s">
        <v>1748</v>
      </c>
      <c r="E196" s="48" t="s">
        <v>1749</v>
      </c>
      <c r="F196" s="48" t="s">
        <v>1750</v>
      </c>
      <c r="G196" s="48" t="s">
        <v>1751</v>
      </c>
    </row>
    <row r="197" spans="1:7" x14ac:dyDescent="0.3">
      <c r="A197" t="s">
        <v>372</v>
      </c>
      <c r="B197" t="s">
        <v>949</v>
      </c>
      <c r="C197" t="s">
        <v>1752</v>
      </c>
      <c r="D197" t="s">
        <v>1753</v>
      </c>
      <c r="E197" t="s">
        <v>1022</v>
      </c>
      <c r="F197" t="s">
        <v>1754</v>
      </c>
      <c r="G197" t="s">
        <v>1755</v>
      </c>
    </row>
    <row r="198" spans="1:7" x14ac:dyDescent="0.3">
      <c r="A198" t="s">
        <v>372</v>
      </c>
      <c r="B198" t="s">
        <v>1014</v>
      </c>
      <c r="C198" t="s">
        <v>1102</v>
      </c>
      <c r="D198" t="s">
        <v>1756</v>
      </c>
      <c r="E198" t="s">
        <v>1757</v>
      </c>
      <c r="F198" t="s">
        <v>1758</v>
      </c>
      <c r="G198" t="s">
        <v>1759</v>
      </c>
    </row>
    <row r="199" spans="1:7" x14ac:dyDescent="0.3">
      <c r="A199" t="s">
        <v>372</v>
      </c>
      <c r="B199" t="s">
        <v>967</v>
      </c>
      <c r="C199" t="s">
        <v>1760</v>
      </c>
      <c r="D199" t="s">
        <v>1494</v>
      </c>
      <c r="E199" t="s">
        <v>1761</v>
      </c>
      <c r="F199" t="s">
        <v>1762</v>
      </c>
      <c r="G199" t="s">
        <v>954</v>
      </c>
    </row>
    <row r="200" spans="1:7" x14ac:dyDescent="0.3">
      <c r="A200" s="48" t="s">
        <v>412</v>
      </c>
      <c r="B200" t="s">
        <v>949</v>
      </c>
      <c r="C200" s="48" t="s">
        <v>1763</v>
      </c>
      <c r="D200" s="48" t="s">
        <v>1764</v>
      </c>
      <c r="E200" s="48" t="s">
        <v>952</v>
      </c>
      <c r="F200" s="48" t="s">
        <v>1765</v>
      </c>
      <c r="G200" s="48" t="s">
        <v>1766</v>
      </c>
    </row>
    <row r="201" spans="1:7" x14ac:dyDescent="0.3">
      <c r="A201" s="48" t="s">
        <v>412</v>
      </c>
      <c r="B201" t="s">
        <v>999</v>
      </c>
      <c r="C201" s="48" t="s">
        <v>1065</v>
      </c>
      <c r="D201" s="48" t="s">
        <v>1767</v>
      </c>
      <c r="E201" s="48" t="s">
        <v>1768</v>
      </c>
      <c r="F201" s="48" t="s">
        <v>1769</v>
      </c>
      <c r="G201" s="48" t="s">
        <v>1770</v>
      </c>
    </row>
    <row r="202" spans="1:7" x14ac:dyDescent="0.3">
      <c r="A202" s="48" t="s">
        <v>412</v>
      </c>
      <c r="B202" t="s">
        <v>984</v>
      </c>
      <c r="C202" s="48" t="s">
        <v>1308</v>
      </c>
      <c r="D202" s="48" t="s">
        <v>1771</v>
      </c>
      <c r="E202" s="48" t="s">
        <v>987</v>
      </c>
      <c r="F202" s="48" t="s">
        <v>1772</v>
      </c>
      <c r="G202" s="48" t="s">
        <v>1766</v>
      </c>
    </row>
    <row r="203" spans="1:7" x14ac:dyDescent="0.3">
      <c r="A203" s="48" t="s">
        <v>412</v>
      </c>
      <c r="B203" t="s">
        <v>990</v>
      </c>
      <c r="C203" s="48" t="s">
        <v>1070</v>
      </c>
      <c r="D203" s="48" t="s">
        <v>1773</v>
      </c>
      <c r="E203" s="48" t="s">
        <v>1774</v>
      </c>
      <c r="F203" s="48" t="s">
        <v>1775</v>
      </c>
      <c r="G203" s="48" t="s">
        <v>1776</v>
      </c>
    </row>
  </sheetData>
  <autoFilter ref="A1:G203" xr:uid="{0E2B9837-93B0-406E-A9BE-BCA2AB6F9E65}">
    <filterColumn colId="4">
      <filters>
        <filter val="Assistant Director - Math Secondary"/>
        <filter val="Assistant Director of Professional Learning Systems"/>
        <filter val="Assistant Superintendent"/>
        <filter val="Assistant Superintendent - Student Performance"/>
        <filter val="Assistant Superintendent - Teaching &amp; Learning"/>
        <filter val="Assistant Superintendent Academics"/>
        <filter val="Assistant Superintendent for Curriculum, Instruction, and Assessment"/>
        <filter val="Assistant Superintendent for Educational Support Services"/>
        <filter val="Assistant Superintendent for Special Education"/>
        <filter val="Assistant Superintendent for Teaching &amp; Learning"/>
        <filter val="Assistant Superintendent of Academic Services"/>
        <filter val="Assistant Superintendent of Schools"/>
        <filter val="Assistant Superintendent of Teaching and Learning"/>
        <filter val="Assistant Superintendent T&amp;L"/>
        <filter val="Assistant Superintendent Teaching and Learning / Executive Director, Teaching and Learning"/>
        <filter val="Assistant Superintendent, Bilingual, ESL &amp; Migrant"/>
        <filter val="Assistant Superintendent, Curriculum and Instruction, High School"/>
        <filter val="Assistant Superintendent, Elementary"/>
        <filter val="Associate Superintendent for Curriculum, Instruction, &amp; Assessment"/>
        <filter val="Associate Superintendent for Instructional Leadership"/>
        <filter val="Bilingual &amp; ESL Department Director"/>
        <filter val="Bilingual/Dual Language Coordinator"/>
        <filter val="Bilingual/ESL Director"/>
        <filter val="Bilingual/ESL/Title III Director"/>
        <filter val="Career Technical Education Director"/>
        <filter val="CEO and Superintendent"/>
        <filter val="Chief Academic Officer"/>
        <filter val="Chief Academic Officer / Associate Superintendent"/>
        <filter val="Chief Instructional Officer"/>
        <filter val="Chief Learning Officer"/>
        <filter val="Chief of Accountability, Assessment, and Analytics"/>
        <filter val="Chief of Leadership &amp; Professional Development"/>
        <filter val="Chief of School Leadership"/>
        <filter val="Coordinator (Elementary Literacy)"/>
        <filter val="Coordinator Elem Math"/>
        <filter val="Coordinator Elementary Reading"/>
        <filter val="Coordinator for Math-Secondary (COORD MATH-SEC)"/>
        <filter val="Coordinator for Secondary Mathematics"/>
        <filter val="Coordinator for Secondary Multilingual Education"/>
        <filter val="Coordinator Math - Middle School"/>
        <filter val="Coordinator Math Intervention"/>
        <filter val="Coordinator Math-Secondary"/>
        <filter val="Coordinator of Secondary Mathematics &amp; Advanced Math Initiatives"/>
        <filter val="Coordinator Sec Math"/>
        <filter val="Coordinator, K12 Mathematics"/>
        <filter val="Coordinator, K-12 Reading Language Arts"/>
        <filter val="Coordinator, Professional Growth &amp; Leadership Development"/>
        <filter val="CTE Director"/>
        <filter val="CTE Director, Compliance &amp; Grants, AgScience, CFISD Livestock Show &amp; AFJROTC"/>
        <filter val="Deputy Chief College Readiness"/>
        <filter val="Deputy Chief for College, Career, and Military Readiness"/>
        <filter val="Deputy Superintendent Academics"/>
        <filter val="Deputy Superintendent Curriculum and Instruction"/>
        <filter val="Deputy Superintendent for Curriculum and Instruction"/>
        <filter val="Deputy Superintendent of Teaching and Learning"/>
        <filter val="Director - Mathematics"/>
        <filter val="Director Bilingual &amp; ESL Programs"/>
        <filter val="Director CTE"/>
        <filter val="Director Curriculum and Intervention"/>
        <filter val="Director for Professional Learning"/>
        <filter val="Director of Reading Language Arts"/>
        <filter val="Director of Secondary Curriculum and Instruction"/>
        <filter val="Director of Secondary Curriculum, Instruction and Staff Development"/>
        <filter val="Director of Secondary Math and Science"/>
        <filter val="Director of the Bilingual/ESL Department"/>
        <filter val="Director Professional Learning"/>
        <filter val="Director, Career &amp; Technical Education"/>
        <filter val="Director, Career and Technical Education"/>
        <filter val="Director, Career and Technical Education Department"/>
        <filter val="Director, Curriculum &amp; Instruction for Special Populations"/>
        <filter val="Director, Multilingual"/>
        <filter val="Director, Professional and Innovative Learning"/>
        <filter val="Director, Professional Learning"/>
        <filter val="Director, Professional Learning - Curriculum &amp; Instruction"/>
        <filter val="Director, Secondary Mathematics"/>
        <filter val="Director, Special Ed, Secondary, Curr &amp; Instr - SPED"/>
        <filter val="District Leadership Development Director"/>
        <filter val="ELA Department Coordinator/Administration"/>
        <filter val="ELAR Instructional Specialist - ELAR Secondary"/>
        <filter val="Elementary Director, Reading and Language Arts"/>
        <filter val="Elementary ELAR Coordinator"/>
        <filter val="Elementary Language Arts Coordinator"/>
        <filter val="Elementary Math Coordinator"/>
        <filter val="Elementary Math Coordinator (PK-6)"/>
        <filter val="Elementary Math Coordinator PreKindergarten"/>
        <filter val="Elementary Mathematics Dean"/>
        <filter val="English as a Second Language (ESL) Coordinator"/>
        <filter val="English Language Arts/Reading - ELAR Coordinator"/>
        <filter val="Exec Dir Multilingual Services"/>
        <filter val="Executive Director"/>
        <filter val="Executive Director - Special Ed"/>
        <filter val="Executive Director Academics of Multilingual Ed"/>
        <filter val="Executive Director Dual Language ESL"/>
        <filter val="Executive Director for CCMR, Advanced Academics, &amp; Schools of Innovation"/>
        <filter val="Executive Director for Secondary Education"/>
        <filter val="Executive Director of Career &amp; Technical Education"/>
        <filter val="Executive Director of Career and Technical Education (CTE)"/>
        <filter val="Executive Director of CCMR and Enrichment"/>
        <filter val="Executive Director of Curriculum &amp; Instruction"/>
        <filter val="Executive Director of Elementary Curriculum and Instruction"/>
        <filter val="Executive Director of Multilingual Services"/>
        <filter val="Executive Director of Professional &amp; Digital Learning"/>
        <filter val="Executive Director of Professional and Innovative Learning"/>
        <filter val="Executive Director of Professional Development and Events"/>
        <filter val="Executive Director of Professional Learning and Leadership Development"/>
        <filter val="Executive Director of Secondary Teaching &amp; Learning"/>
        <filter val="Executive Director of Special Education"/>
        <filter val="Executive Director of Special Education/504"/>
        <filter val="Executive Director of Teaching and Learning"/>
        <filter val="Executive Director Special Education"/>
        <filter val="Executive Director Special Education Services"/>
        <filter val="Executive Director, Career &amp; Technical Education"/>
        <filter val="Executive Director, College &amp; Career Readiness Innovation"/>
        <filter val="Executive Director, CTE &amp; Career Readiness"/>
        <filter val="Executive Director, Curriculum &amp; Instruction"/>
        <filter val="Executive Director, Curriculum, Instruction, &amp; Innovation"/>
        <filter val="Executive Director, English as a Second Language (ESL) / Multilingual Programs"/>
        <filter val="Executive Director, Secondary - Curriculum &amp; Instruction"/>
        <filter val="Interim Superintendent"/>
        <filter val="K-12 Mathematics Coordinator"/>
        <filter val="Literacy Director"/>
        <filter val="Math Coordinator"/>
        <filter val="Mathematics Coordinator"/>
        <filter val="Mathematics Coordinator (Elem.)"/>
        <filter val="Mathematics Director"/>
        <filter val="Secondary Coordinator for Math"/>
        <filter val="Secondary Eng/LA Curriculum Coach"/>
        <filter val="Secondary Math Coordinator"/>
        <filter val="Secondary Math Coordinator Algebra I"/>
        <filter val="Secondary Math Instructional Officer"/>
        <filter val="Senior Director - Bil/ESL Programs"/>
        <filter val="Senior Director - Career &amp; Tech Ed"/>
        <filter val="Senior Director, Bilingual/ESL Program"/>
        <filter val="Senior EL Programs Lead"/>
        <filter val="Senior Executive Director for the Curriculum, Instruction, and Assessment Department"/>
        <filter val="Senior Vice President of Academics"/>
        <filter val="Special Education Director"/>
        <filter val="Sr. Math Curriculum Manager"/>
        <filter val="Superintendent"/>
        <filter val="Superintendent of School"/>
        <filter val="Superintendent of Schools"/>
      </filters>
    </filterColumn>
    <filterColumn colId="5">
      <customFilters>
        <customFilter operator="notEqual" val=" "/>
      </customFilters>
    </filterColumn>
    <sortState xmlns:xlrd2="http://schemas.microsoft.com/office/spreadsheetml/2017/richdata2" ref="A2:G203">
      <sortCondition ref="A1"/>
    </sortState>
  </autoFilter>
  <hyperlinks>
    <hyperlink ref="F2" r:id="rId1" xr:uid="{101A9562-4168-4281-8DA4-5FE26262845B}"/>
    <hyperlink ref="F3" r:id="rId2" xr:uid="{F0570F0F-E799-4C39-919C-A7DBB8830028}"/>
    <hyperlink ref="F4" r:id="rId3" xr:uid="{0A99134B-6CBF-4A01-BDDB-CA86DD69EBAF}"/>
    <hyperlink ref="F5" r:id="rId4" xr:uid="{11EAD542-C1A8-495A-BBD9-2AFFED0CBA45}"/>
    <hyperlink ref="F6" r:id="rId5" xr:uid="{6D0C6C70-317F-4A84-822A-444D859D048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558E7-DB47-4ABF-BF8D-59D98523F4EB}">
  <sheetPr>
    <tabColor rgb="FFFFC000"/>
  </sheetPr>
  <dimension ref="A1:Z28"/>
  <sheetViews>
    <sheetView topLeftCell="H1" workbookViewId="0">
      <pane ySplit="1" topLeftCell="A5" activePane="bottomLeft" state="frozen"/>
      <selection activeCell="B1" sqref="B1"/>
      <selection pane="bottomLeft" activeCell="Q23" sqref="Q23"/>
    </sheetView>
  </sheetViews>
  <sheetFormatPr defaultColWidth="9.109375" defaultRowHeight="14.4" x14ac:dyDescent="0.3"/>
  <cols>
    <col min="1" max="1" width="18.33203125" style="19" hidden="1" customWidth="1"/>
    <col min="2" max="2" width="12.6640625" style="1" customWidth="1"/>
    <col min="3" max="3" width="29.44140625" style="1" customWidth="1"/>
    <col min="4" max="4" width="9.44140625" style="1" customWidth="1"/>
    <col min="5" max="5" width="23.6640625" style="1" customWidth="1"/>
    <col min="6" max="6" width="9.88671875" style="1" customWidth="1"/>
    <col min="7" max="7" width="23.109375" style="1" customWidth="1"/>
    <col min="8" max="8" width="9.44140625" style="1" customWidth="1"/>
    <col min="9" max="9" width="25.44140625" style="1" customWidth="1"/>
    <col min="10" max="10" width="8.88671875" style="1" customWidth="1"/>
    <col min="11" max="11" width="25" style="1" customWidth="1"/>
    <col min="12" max="12" width="11.44140625" style="1" customWidth="1"/>
    <col min="13" max="13" width="25" style="1" customWidth="1"/>
    <col min="14" max="14" width="12.6640625" style="1" hidden="1" customWidth="1"/>
    <col min="15" max="15" width="24.6640625" style="1" hidden="1" customWidth="1"/>
    <col min="16" max="16" width="12.6640625" style="1" customWidth="1"/>
    <col min="17" max="17" width="28.5546875" style="1" customWidth="1"/>
    <col min="18" max="18" width="12.6640625" style="1" customWidth="1"/>
    <col min="19" max="19" width="26.5546875" style="1" customWidth="1"/>
    <col min="20" max="20" width="12.6640625" style="1" customWidth="1"/>
    <col min="21" max="21" width="15.5546875" style="1" customWidth="1"/>
    <col min="22" max="28" width="12.6640625" style="1" customWidth="1"/>
    <col min="29" max="16384" width="9.109375" style="1"/>
  </cols>
  <sheetData>
    <row r="1" spans="1:26" ht="72" x14ac:dyDescent="0.3">
      <c r="A1" s="50" t="s">
        <v>1838</v>
      </c>
      <c r="B1" s="24" t="s">
        <v>21</v>
      </c>
      <c r="C1" s="6" t="s">
        <v>1839</v>
      </c>
      <c r="D1" s="6" t="s">
        <v>1840</v>
      </c>
      <c r="E1" s="6" t="s">
        <v>1841</v>
      </c>
      <c r="F1" s="6" t="s">
        <v>1842</v>
      </c>
      <c r="G1" s="6" t="s">
        <v>1843</v>
      </c>
      <c r="H1" s="6" t="s">
        <v>1844</v>
      </c>
      <c r="I1" s="6" t="s">
        <v>1845</v>
      </c>
      <c r="J1" s="6" t="s">
        <v>1846</v>
      </c>
      <c r="K1" s="6" t="s">
        <v>1847</v>
      </c>
      <c r="L1" s="6" t="s">
        <v>1848</v>
      </c>
      <c r="M1" s="6" t="s">
        <v>1849</v>
      </c>
      <c r="N1" s="6" t="s">
        <v>1850</v>
      </c>
      <c r="O1" s="6" t="s">
        <v>1851</v>
      </c>
      <c r="P1" s="6" t="s">
        <v>1852</v>
      </c>
      <c r="Q1" s="6" t="s">
        <v>1853</v>
      </c>
      <c r="R1" s="6" t="s">
        <v>1854</v>
      </c>
      <c r="S1" s="6" t="s">
        <v>1855</v>
      </c>
      <c r="T1" s="6" t="s">
        <v>1856</v>
      </c>
      <c r="U1" s="6" t="s">
        <v>887</v>
      </c>
      <c r="V1" s="36"/>
      <c r="W1" s="36"/>
      <c r="X1" s="36"/>
      <c r="Y1" s="36"/>
      <c r="Z1" s="36"/>
    </row>
    <row r="2" spans="1:26" ht="129.6" x14ac:dyDescent="0.3">
      <c r="A2" s="50"/>
      <c r="B2" s="25" t="s">
        <v>37</v>
      </c>
      <c r="C2" s="20" t="s">
        <v>1857</v>
      </c>
      <c r="D2" s="20" t="s">
        <v>39</v>
      </c>
      <c r="E2" s="20" t="s">
        <v>1858</v>
      </c>
      <c r="F2" s="20" t="s">
        <v>39</v>
      </c>
      <c r="G2" s="20" t="s">
        <v>1859</v>
      </c>
      <c r="H2" s="20" t="s">
        <v>39</v>
      </c>
      <c r="I2" s="20" t="s">
        <v>1860</v>
      </c>
      <c r="J2" s="20" t="s">
        <v>39</v>
      </c>
      <c r="K2" s="20" t="s">
        <v>1861</v>
      </c>
      <c r="L2" s="20"/>
      <c r="M2" s="20"/>
      <c r="N2" s="20" t="s">
        <v>1862</v>
      </c>
      <c r="O2" s="20" t="s">
        <v>1863</v>
      </c>
      <c r="P2" s="20" t="s">
        <v>39</v>
      </c>
      <c r="Q2" s="20" t="s">
        <v>1864</v>
      </c>
      <c r="R2" s="20" t="s">
        <v>39</v>
      </c>
      <c r="S2" s="20" t="s">
        <v>1865</v>
      </c>
      <c r="T2" s="21" t="s">
        <v>1866</v>
      </c>
      <c r="U2" s="20"/>
    </row>
    <row r="3" spans="1:26" ht="172.8" x14ac:dyDescent="0.3">
      <c r="A3" s="50"/>
      <c r="B3" s="25" t="s">
        <v>40</v>
      </c>
      <c r="C3" s="20" t="s">
        <v>1867</v>
      </c>
      <c r="D3" s="20" t="s">
        <v>39</v>
      </c>
      <c r="E3" s="20" t="s">
        <v>1868</v>
      </c>
      <c r="F3" s="20" t="s">
        <v>39</v>
      </c>
      <c r="G3" s="20" t="s">
        <v>1869</v>
      </c>
      <c r="H3" s="20" t="s">
        <v>39</v>
      </c>
      <c r="I3" s="20" t="s">
        <v>1870</v>
      </c>
      <c r="J3" s="20" t="s">
        <v>39</v>
      </c>
      <c r="K3" s="20" t="s">
        <v>1871</v>
      </c>
      <c r="L3" s="20" t="s">
        <v>39</v>
      </c>
      <c r="M3" s="20" t="s">
        <v>1872</v>
      </c>
      <c r="N3" s="20" t="s">
        <v>1873</v>
      </c>
      <c r="O3" s="20" t="s">
        <v>1874</v>
      </c>
      <c r="P3" s="20" t="s">
        <v>39</v>
      </c>
      <c r="Q3" s="20" t="s">
        <v>1875</v>
      </c>
      <c r="R3" s="20" t="s">
        <v>38</v>
      </c>
      <c r="S3" s="20"/>
      <c r="T3" s="21" t="s">
        <v>896</v>
      </c>
      <c r="U3" s="20"/>
    </row>
    <row r="4" spans="1:26" ht="302.39999999999998" x14ac:dyDescent="0.3">
      <c r="A4" s="50"/>
      <c r="B4" s="25" t="s">
        <v>41</v>
      </c>
      <c r="C4" s="20" t="s">
        <v>1876</v>
      </c>
      <c r="D4" s="20" t="s">
        <v>39</v>
      </c>
      <c r="E4" s="20" t="s">
        <v>1877</v>
      </c>
      <c r="F4" s="20" t="s">
        <v>39</v>
      </c>
      <c r="G4" s="20" t="s">
        <v>1878</v>
      </c>
      <c r="H4" s="20" t="s">
        <v>39</v>
      </c>
      <c r="I4" s="20" t="s">
        <v>1879</v>
      </c>
      <c r="J4" s="20" t="s">
        <v>39</v>
      </c>
      <c r="K4" s="20" t="s">
        <v>1880</v>
      </c>
      <c r="L4" s="20" t="s">
        <v>39</v>
      </c>
      <c r="M4" s="20" t="s">
        <v>1881</v>
      </c>
      <c r="N4" s="20" t="s">
        <v>1882</v>
      </c>
      <c r="O4" s="20" t="s">
        <v>1883</v>
      </c>
      <c r="P4" s="20" t="s">
        <v>38</v>
      </c>
      <c r="Q4" s="20"/>
      <c r="R4" s="20" t="s">
        <v>38</v>
      </c>
      <c r="S4" s="20"/>
      <c r="T4" s="21" t="s">
        <v>1884</v>
      </c>
      <c r="U4" s="20"/>
    </row>
    <row r="5" spans="1:26" ht="230.4" x14ac:dyDescent="0.3">
      <c r="A5" s="50"/>
      <c r="B5" s="25" t="s">
        <v>42</v>
      </c>
      <c r="C5" s="20" t="s">
        <v>1885</v>
      </c>
      <c r="D5" s="20" t="s">
        <v>1886</v>
      </c>
      <c r="E5" s="20" t="s">
        <v>1887</v>
      </c>
      <c r="F5" s="20" t="s">
        <v>39</v>
      </c>
      <c r="G5" s="20" t="s">
        <v>1888</v>
      </c>
      <c r="H5" s="20" t="s">
        <v>39</v>
      </c>
      <c r="I5" s="20" t="s">
        <v>1889</v>
      </c>
      <c r="J5" s="20" t="s">
        <v>39</v>
      </c>
      <c r="K5" s="20" t="s">
        <v>1890</v>
      </c>
      <c r="L5" s="20" t="s">
        <v>39</v>
      </c>
      <c r="M5" s="20" t="s">
        <v>1891</v>
      </c>
      <c r="N5" s="20" t="s">
        <v>1892</v>
      </c>
      <c r="O5" s="20" t="s">
        <v>1893</v>
      </c>
      <c r="P5" s="20" t="s">
        <v>1894</v>
      </c>
      <c r="Q5" s="20" t="s">
        <v>1895</v>
      </c>
      <c r="R5" s="20" t="s">
        <v>38</v>
      </c>
      <c r="S5" s="20"/>
      <c r="T5" s="21" t="s">
        <v>1896</v>
      </c>
      <c r="U5" s="20"/>
    </row>
    <row r="6" spans="1:26" ht="130.19999999999999" thickBot="1" x14ac:dyDescent="0.35">
      <c r="A6" s="50"/>
      <c r="B6" s="25" t="s">
        <v>43</v>
      </c>
      <c r="C6" s="20" t="s">
        <v>1897</v>
      </c>
      <c r="D6" s="20" t="s">
        <v>39</v>
      </c>
      <c r="E6" s="20" t="s">
        <v>1898</v>
      </c>
      <c r="F6" s="20" t="s">
        <v>39</v>
      </c>
      <c r="G6" s="20" t="s">
        <v>1899</v>
      </c>
      <c r="H6" s="20" t="s">
        <v>39</v>
      </c>
      <c r="I6" s="20" t="s">
        <v>1900</v>
      </c>
      <c r="J6" s="20" t="s">
        <v>39</v>
      </c>
      <c r="K6" s="20" t="s">
        <v>1901</v>
      </c>
      <c r="L6" s="20" t="s">
        <v>39</v>
      </c>
      <c r="M6" s="20" t="s">
        <v>1902</v>
      </c>
      <c r="N6" s="20"/>
      <c r="O6" s="20"/>
      <c r="P6" s="20" t="s">
        <v>38</v>
      </c>
      <c r="Q6" s="20" t="s">
        <v>1903</v>
      </c>
      <c r="R6" s="20" t="s">
        <v>39</v>
      </c>
      <c r="S6" s="20" t="s">
        <v>1904</v>
      </c>
      <c r="T6" s="20"/>
      <c r="U6" s="20"/>
    </row>
    <row r="7" spans="1:26" ht="202.2" thickBot="1" x14ac:dyDescent="0.35">
      <c r="A7" s="50"/>
      <c r="B7" s="25" t="s">
        <v>44</v>
      </c>
      <c r="C7" s="23" t="s">
        <v>1905</v>
      </c>
      <c r="D7" s="22" t="s">
        <v>39</v>
      </c>
      <c r="E7" s="22" t="s">
        <v>1906</v>
      </c>
      <c r="F7" s="22" t="s">
        <v>39</v>
      </c>
      <c r="G7" s="20" t="s">
        <v>1907</v>
      </c>
      <c r="H7" s="20" t="s">
        <v>39</v>
      </c>
      <c r="I7" s="20" t="s">
        <v>1908</v>
      </c>
      <c r="J7" s="20" t="s">
        <v>39</v>
      </c>
      <c r="K7" s="20" t="s">
        <v>1909</v>
      </c>
      <c r="L7" s="20" t="s">
        <v>39</v>
      </c>
      <c r="M7" s="20" t="s">
        <v>1910</v>
      </c>
      <c r="N7" s="20" t="s">
        <v>39</v>
      </c>
      <c r="O7" s="20" t="s">
        <v>1911</v>
      </c>
      <c r="P7" s="20" t="s">
        <v>39</v>
      </c>
      <c r="Q7" s="20" t="s">
        <v>1912</v>
      </c>
      <c r="R7" s="20" t="s">
        <v>39</v>
      </c>
      <c r="S7" s="20" t="s">
        <v>1913</v>
      </c>
      <c r="T7" s="20"/>
      <c r="U7" s="20" t="s">
        <v>1914</v>
      </c>
    </row>
    <row r="8" spans="1:26" ht="230.4" x14ac:dyDescent="0.3">
      <c r="A8" s="50"/>
      <c r="B8" s="25" t="s">
        <v>45</v>
      </c>
      <c r="C8" s="20" t="s">
        <v>1915</v>
      </c>
      <c r="D8" s="20" t="s">
        <v>39</v>
      </c>
      <c r="E8" s="20" t="s">
        <v>1916</v>
      </c>
      <c r="F8" s="20" t="s">
        <v>39</v>
      </c>
      <c r="G8" s="20" t="s">
        <v>1917</v>
      </c>
      <c r="H8" s="20" t="s">
        <v>39</v>
      </c>
      <c r="I8" s="20" t="s">
        <v>1918</v>
      </c>
      <c r="J8" s="20" t="s">
        <v>39</v>
      </c>
      <c r="K8" s="20" t="s">
        <v>1919</v>
      </c>
      <c r="L8" s="20" t="s">
        <v>39</v>
      </c>
      <c r="M8" s="20" t="s">
        <v>1920</v>
      </c>
      <c r="N8" s="20" t="s">
        <v>1862</v>
      </c>
      <c r="O8" s="20" t="s">
        <v>1921</v>
      </c>
      <c r="P8" s="20" t="s">
        <v>39</v>
      </c>
      <c r="Q8" s="20" t="s">
        <v>1922</v>
      </c>
      <c r="R8" s="20" t="s">
        <v>1862</v>
      </c>
      <c r="S8" s="20" t="s">
        <v>1923</v>
      </c>
      <c r="T8" s="21" t="s">
        <v>907</v>
      </c>
      <c r="U8" s="20"/>
    </row>
    <row r="9" spans="1:26" ht="288" x14ac:dyDescent="0.3">
      <c r="A9" s="50"/>
      <c r="B9" s="25" t="s">
        <v>46</v>
      </c>
      <c r="C9" s="20" t="s">
        <v>1924</v>
      </c>
      <c r="D9" s="20" t="s">
        <v>39</v>
      </c>
      <c r="E9" s="20" t="s">
        <v>1925</v>
      </c>
      <c r="F9" s="20" t="s">
        <v>39</v>
      </c>
      <c r="G9" s="20" t="s">
        <v>1926</v>
      </c>
      <c r="H9" s="20" t="s">
        <v>39</v>
      </c>
      <c r="I9" s="20" t="s">
        <v>1927</v>
      </c>
      <c r="J9" s="20" t="s">
        <v>39</v>
      </c>
      <c r="K9" s="20" t="s">
        <v>1928</v>
      </c>
      <c r="L9" s="20" t="s">
        <v>39</v>
      </c>
      <c r="M9" s="20" t="s">
        <v>1929</v>
      </c>
      <c r="N9" s="20" t="s">
        <v>1930</v>
      </c>
      <c r="O9" s="20" t="s">
        <v>1931</v>
      </c>
      <c r="P9" s="20" t="s">
        <v>39</v>
      </c>
      <c r="Q9" s="20" t="s">
        <v>1932</v>
      </c>
      <c r="R9" s="20"/>
      <c r="S9" s="20"/>
      <c r="T9" s="20"/>
      <c r="U9" s="20"/>
    </row>
    <row r="10" spans="1:26" ht="316.8" x14ac:dyDescent="0.3">
      <c r="A10" s="50"/>
      <c r="B10" s="25" t="s">
        <v>47</v>
      </c>
      <c r="C10" s="20" t="s">
        <v>1933</v>
      </c>
      <c r="D10" s="20" t="s">
        <v>39</v>
      </c>
      <c r="E10" s="20" t="s">
        <v>1934</v>
      </c>
      <c r="F10" s="20" t="s">
        <v>39</v>
      </c>
      <c r="G10" s="20" t="s">
        <v>1935</v>
      </c>
      <c r="H10" s="20" t="s">
        <v>39</v>
      </c>
      <c r="I10" s="20" t="s">
        <v>1936</v>
      </c>
      <c r="J10" s="20" t="s">
        <v>39</v>
      </c>
      <c r="K10" s="20" t="s">
        <v>1937</v>
      </c>
      <c r="L10" s="20" t="s">
        <v>39</v>
      </c>
      <c r="M10" s="20" t="s">
        <v>1938</v>
      </c>
      <c r="N10" s="20"/>
      <c r="O10" s="20"/>
      <c r="P10" s="20" t="s">
        <v>39</v>
      </c>
      <c r="Q10" s="20" t="s">
        <v>1939</v>
      </c>
      <c r="R10" s="20" t="s">
        <v>39</v>
      </c>
      <c r="S10" s="20" t="s">
        <v>1940</v>
      </c>
      <c r="T10" s="20"/>
      <c r="U10" s="20"/>
    </row>
    <row r="11" spans="1:26" ht="259.2" x14ac:dyDescent="0.3">
      <c r="A11" s="50"/>
      <c r="B11" s="25" t="s">
        <v>48</v>
      </c>
      <c r="C11" s="20" t="s">
        <v>1941</v>
      </c>
      <c r="D11" s="20" t="s">
        <v>39</v>
      </c>
      <c r="E11" s="20" t="s">
        <v>1942</v>
      </c>
      <c r="F11" s="20" t="s">
        <v>39</v>
      </c>
      <c r="G11" s="20" t="s">
        <v>1943</v>
      </c>
      <c r="H11" s="20" t="s">
        <v>39</v>
      </c>
      <c r="I11" s="20" t="s">
        <v>1944</v>
      </c>
      <c r="J11" s="20" t="s">
        <v>39</v>
      </c>
      <c r="K11" s="20" t="s">
        <v>1945</v>
      </c>
      <c r="L11" s="20" t="s">
        <v>39</v>
      </c>
      <c r="M11" s="20" t="s">
        <v>1946</v>
      </c>
      <c r="N11" s="20"/>
      <c r="O11" s="20"/>
      <c r="P11" s="20" t="s">
        <v>39</v>
      </c>
      <c r="Q11" s="20" t="s">
        <v>1947</v>
      </c>
      <c r="R11" s="20" t="s">
        <v>39</v>
      </c>
      <c r="S11" s="20" t="s">
        <v>1948</v>
      </c>
      <c r="T11" s="20"/>
      <c r="U11" s="20"/>
    </row>
    <row r="12" spans="1:26" ht="230.4" x14ac:dyDescent="0.3">
      <c r="A12" s="50"/>
      <c r="B12" s="25" t="s">
        <v>49</v>
      </c>
      <c r="C12" s="20" t="s">
        <v>1949</v>
      </c>
      <c r="D12" s="20" t="s">
        <v>39</v>
      </c>
      <c r="E12" s="20" t="s">
        <v>1950</v>
      </c>
      <c r="F12" s="20" t="s">
        <v>39</v>
      </c>
      <c r="G12" s="20" t="s">
        <v>1951</v>
      </c>
      <c r="H12" s="20" t="s">
        <v>39</v>
      </c>
      <c r="I12" s="20" t="s">
        <v>1952</v>
      </c>
      <c r="J12" s="20" t="s">
        <v>39</v>
      </c>
      <c r="K12" s="20" t="s">
        <v>1953</v>
      </c>
      <c r="L12" s="20" t="s">
        <v>39</v>
      </c>
      <c r="M12" s="20" t="s">
        <v>1954</v>
      </c>
      <c r="N12" s="20"/>
      <c r="O12" s="20"/>
      <c r="P12" s="20" t="s">
        <v>39</v>
      </c>
      <c r="Q12" s="20" t="s">
        <v>1955</v>
      </c>
      <c r="R12" s="20" t="s">
        <v>38</v>
      </c>
      <c r="S12" s="20" t="s">
        <v>1956</v>
      </c>
      <c r="T12" s="20"/>
      <c r="U12" s="20"/>
    </row>
    <row r="13" spans="1:26" x14ac:dyDescent="0.3">
      <c r="A13" s="50"/>
      <c r="B13" s="25" t="s">
        <v>50</v>
      </c>
      <c r="C13" s="20"/>
      <c r="D13" s="20"/>
      <c r="E13" s="20"/>
      <c r="F13" s="20"/>
      <c r="G13" s="20"/>
      <c r="H13" s="20"/>
      <c r="I13" s="20"/>
      <c r="J13" s="20"/>
      <c r="K13" s="20"/>
      <c r="L13" s="20"/>
      <c r="M13" s="20"/>
      <c r="N13" s="20"/>
      <c r="O13" s="20"/>
      <c r="P13" s="20"/>
      <c r="Q13" s="20"/>
      <c r="R13" s="20"/>
      <c r="S13" s="20"/>
      <c r="T13" s="20"/>
      <c r="U13" s="20"/>
    </row>
    <row r="14" spans="1:26" ht="187.2" x14ac:dyDescent="0.3">
      <c r="A14" s="50"/>
      <c r="B14" s="25" t="s">
        <v>51</v>
      </c>
      <c r="C14" s="20" t="s">
        <v>1957</v>
      </c>
      <c r="D14" s="20" t="s">
        <v>39</v>
      </c>
      <c r="E14" s="20" t="s">
        <v>1958</v>
      </c>
      <c r="F14" s="20" t="s">
        <v>39</v>
      </c>
      <c r="G14" s="20" t="s">
        <v>1959</v>
      </c>
      <c r="H14" s="20" t="s">
        <v>39</v>
      </c>
      <c r="I14" s="20" t="s">
        <v>1960</v>
      </c>
      <c r="J14" s="20" t="s">
        <v>39</v>
      </c>
      <c r="K14" s="20" t="s">
        <v>1961</v>
      </c>
      <c r="L14" s="20" t="s">
        <v>39</v>
      </c>
      <c r="M14" s="20" t="s">
        <v>1962</v>
      </c>
      <c r="N14" s="20"/>
      <c r="O14" s="20"/>
      <c r="P14" s="20" t="s">
        <v>39</v>
      </c>
      <c r="Q14" s="20" t="s">
        <v>1963</v>
      </c>
      <c r="R14" s="20" t="s">
        <v>39</v>
      </c>
      <c r="S14" s="20" t="s">
        <v>1964</v>
      </c>
      <c r="T14" s="20"/>
      <c r="U14" s="20"/>
    </row>
    <row r="15" spans="1:26" ht="244.8" x14ac:dyDescent="0.3">
      <c r="A15" s="50"/>
      <c r="B15" s="25" t="s">
        <v>52</v>
      </c>
      <c r="C15" s="20" t="s">
        <v>1965</v>
      </c>
      <c r="D15" s="20" t="s">
        <v>39</v>
      </c>
      <c r="E15" s="20" t="s">
        <v>1966</v>
      </c>
      <c r="F15" s="20" t="s">
        <v>39</v>
      </c>
      <c r="G15" s="20" t="s">
        <v>1967</v>
      </c>
      <c r="H15" s="20" t="s">
        <v>39</v>
      </c>
      <c r="I15" s="20" t="s">
        <v>1968</v>
      </c>
      <c r="J15" s="20" t="s">
        <v>39</v>
      </c>
      <c r="K15" s="20" t="s">
        <v>1969</v>
      </c>
      <c r="L15" s="20" t="s">
        <v>39</v>
      </c>
      <c r="M15" s="20" t="s">
        <v>1970</v>
      </c>
      <c r="N15" s="20"/>
      <c r="O15" s="20"/>
      <c r="P15" s="20" t="s">
        <v>39</v>
      </c>
      <c r="Q15" s="20" t="s">
        <v>1971</v>
      </c>
      <c r="R15" s="20" t="s">
        <v>39</v>
      </c>
      <c r="S15" s="20" t="s">
        <v>1972</v>
      </c>
      <c r="T15" s="20"/>
      <c r="U15" s="20"/>
    </row>
    <row r="16" spans="1:26" ht="345.6" x14ac:dyDescent="0.3">
      <c r="A16" s="50"/>
      <c r="B16" s="25" t="s">
        <v>53</v>
      </c>
      <c r="C16" s="20" t="s">
        <v>1997</v>
      </c>
      <c r="D16" s="20" t="s">
        <v>39</v>
      </c>
      <c r="E16" s="20" t="s">
        <v>1998</v>
      </c>
      <c r="F16" s="20" t="s">
        <v>39</v>
      </c>
      <c r="G16" s="20" t="s">
        <v>1999</v>
      </c>
      <c r="H16" s="20" t="s">
        <v>39</v>
      </c>
      <c r="I16" s="20" t="s">
        <v>2000</v>
      </c>
      <c r="J16" s="20" t="s">
        <v>39</v>
      </c>
      <c r="K16" s="20" t="s">
        <v>2001</v>
      </c>
      <c r="L16" s="20" t="s">
        <v>39</v>
      </c>
      <c r="M16" s="20" t="s">
        <v>2002</v>
      </c>
      <c r="N16" s="20"/>
      <c r="O16" s="20"/>
      <c r="P16" s="20" t="s">
        <v>39</v>
      </c>
      <c r="Q16" s="20" t="s">
        <v>2003</v>
      </c>
      <c r="R16" s="20" t="s">
        <v>39</v>
      </c>
      <c r="S16" s="20" t="s">
        <v>2004</v>
      </c>
      <c r="T16" s="20"/>
      <c r="U16" s="20"/>
    </row>
    <row r="17" spans="1:21" ht="345.6" x14ac:dyDescent="0.3">
      <c r="A17" s="50"/>
      <c r="B17" s="25" t="s">
        <v>54</v>
      </c>
      <c r="C17" s="20" t="s">
        <v>1989</v>
      </c>
      <c r="D17" s="20" t="s">
        <v>39</v>
      </c>
      <c r="E17" s="20" t="s">
        <v>1990</v>
      </c>
      <c r="F17" s="20" t="s">
        <v>39</v>
      </c>
      <c r="G17" s="20" t="s">
        <v>1991</v>
      </c>
      <c r="H17" s="20" t="s">
        <v>39</v>
      </c>
      <c r="I17" s="20" t="s">
        <v>1992</v>
      </c>
      <c r="J17" s="20" t="s">
        <v>39</v>
      </c>
      <c r="K17" s="20" t="s">
        <v>1993</v>
      </c>
      <c r="L17" s="20" t="s">
        <v>39</v>
      </c>
      <c r="M17" s="20" t="s">
        <v>1994</v>
      </c>
      <c r="N17" s="20"/>
      <c r="O17" s="20"/>
      <c r="P17" s="20" t="s">
        <v>39</v>
      </c>
      <c r="Q17" s="20" t="s">
        <v>1995</v>
      </c>
      <c r="R17" s="20" t="s">
        <v>39</v>
      </c>
      <c r="S17" s="20" t="s">
        <v>1996</v>
      </c>
      <c r="T17" s="20"/>
      <c r="U17" s="20"/>
    </row>
    <row r="18" spans="1:21" ht="273.60000000000002" x14ac:dyDescent="0.3">
      <c r="A18" s="50"/>
      <c r="B18" s="25" t="s">
        <v>55</v>
      </c>
      <c r="C18" s="20" t="s">
        <v>1988</v>
      </c>
      <c r="D18" s="20" t="s">
        <v>39</v>
      </c>
      <c r="E18" s="20" t="s">
        <v>1981</v>
      </c>
      <c r="F18" s="20" t="s">
        <v>39</v>
      </c>
      <c r="G18" s="20" t="s">
        <v>1982</v>
      </c>
      <c r="H18" s="20" t="s">
        <v>39</v>
      </c>
      <c r="I18" s="20" t="s">
        <v>1983</v>
      </c>
      <c r="J18" s="20" t="s">
        <v>39</v>
      </c>
      <c r="K18" s="20" t="s">
        <v>1984</v>
      </c>
      <c r="L18" s="20" t="s">
        <v>39</v>
      </c>
      <c r="M18" s="20" t="s">
        <v>1985</v>
      </c>
      <c r="N18" s="20"/>
      <c r="O18" s="20"/>
      <c r="P18" s="20" t="s">
        <v>39</v>
      </c>
      <c r="Q18" s="20" t="s">
        <v>1986</v>
      </c>
      <c r="R18" s="20" t="s">
        <v>39</v>
      </c>
      <c r="S18" s="20" t="s">
        <v>1987</v>
      </c>
      <c r="T18" s="20"/>
      <c r="U18" s="20"/>
    </row>
    <row r="19" spans="1:21" ht="409.6" x14ac:dyDescent="0.3">
      <c r="A19" s="50"/>
      <c r="B19" s="25" t="s">
        <v>56</v>
      </c>
      <c r="C19" s="20" t="s">
        <v>2005</v>
      </c>
      <c r="D19" s="20" t="s">
        <v>2006</v>
      </c>
      <c r="E19" s="20" t="s">
        <v>2007</v>
      </c>
      <c r="F19" s="20" t="s">
        <v>2006</v>
      </c>
      <c r="G19" s="20" t="s">
        <v>2009</v>
      </c>
      <c r="H19" s="20" t="s">
        <v>39</v>
      </c>
      <c r="I19" s="20" t="s">
        <v>2008</v>
      </c>
      <c r="J19" s="20" t="s">
        <v>39</v>
      </c>
      <c r="K19" s="20" t="s">
        <v>2010</v>
      </c>
      <c r="L19" s="20" t="s">
        <v>39</v>
      </c>
      <c r="M19" s="20" t="s">
        <v>2011</v>
      </c>
      <c r="N19" s="20"/>
      <c r="O19" s="20"/>
      <c r="P19" s="20" t="s">
        <v>2013</v>
      </c>
      <c r="Q19" s="20" t="s">
        <v>2012</v>
      </c>
      <c r="R19" s="20" t="s">
        <v>39</v>
      </c>
      <c r="S19" s="20" t="s">
        <v>2014</v>
      </c>
      <c r="T19" s="20"/>
      <c r="U19" s="20"/>
    </row>
    <row r="20" spans="1:21" ht="43.2" x14ac:dyDescent="0.3">
      <c r="A20" s="50"/>
      <c r="B20" s="25" t="s">
        <v>57</v>
      </c>
      <c r="C20" s="20"/>
      <c r="D20" s="20"/>
      <c r="E20" s="20"/>
      <c r="F20" s="20"/>
      <c r="G20" s="20"/>
      <c r="H20" s="20"/>
      <c r="I20" s="20"/>
      <c r="J20" s="20"/>
      <c r="K20" s="20"/>
      <c r="L20" s="20"/>
      <c r="M20" s="20"/>
      <c r="N20" s="20"/>
      <c r="O20" s="20"/>
      <c r="P20" s="20"/>
      <c r="Q20" s="20"/>
      <c r="R20" s="20"/>
      <c r="S20" s="20"/>
      <c r="T20" s="20"/>
      <c r="U20" s="20"/>
    </row>
    <row r="21" spans="1:21" ht="409.6" x14ac:dyDescent="0.3">
      <c r="A21" s="50"/>
      <c r="B21" s="25" t="s">
        <v>58</v>
      </c>
      <c r="C21" s="20" t="s">
        <v>2015</v>
      </c>
      <c r="D21" s="20" t="s">
        <v>39</v>
      </c>
      <c r="E21" s="20" t="s">
        <v>2016</v>
      </c>
      <c r="F21" s="20" t="s">
        <v>39</v>
      </c>
      <c r="G21" s="20" t="s">
        <v>2017</v>
      </c>
      <c r="H21" s="20" t="s">
        <v>39</v>
      </c>
      <c r="I21" s="20" t="s">
        <v>2018</v>
      </c>
      <c r="J21" s="20" t="s">
        <v>39</v>
      </c>
      <c r="K21" s="20" t="s">
        <v>2019</v>
      </c>
      <c r="L21" s="20" t="s">
        <v>39</v>
      </c>
      <c r="M21" s="20" t="s">
        <v>2020</v>
      </c>
      <c r="N21" s="20"/>
      <c r="O21" s="20"/>
      <c r="P21" s="20" t="s">
        <v>39</v>
      </c>
      <c r="Q21" s="20" t="s">
        <v>2021</v>
      </c>
      <c r="R21" s="20" t="s">
        <v>39</v>
      </c>
      <c r="S21" s="20" t="s">
        <v>2022</v>
      </c>
      <c r="T21" s="20"/>
      <c r="U21" s="20"/>
    </row>
    <row r="22" spans="1:21" ht="288" x14ac:dyDescent="0.3">
      <c r="A22" s="50"/>
      <c r="B22" s="25" t="s">
        <v>59</v>
      </c>
      <c r="C22" s="20" t="s">
        <v>2023</v>
      </c>
      <c r="D22" s="20" t="s">
        <v>39</v>
      </c>
      <c r="E22" s="20" t="s">
        <v>2024</v>
      </c>
      <c r="F22" s="20" t="s">
        <v>39</v>
      </c>
      <c r="G22" s="20" t="s">
        <v>2025</v>
      </c>
      <c r="H22" s="20" t="s">
        <v>39</v>
      </c>
      <c r="I22" s="20" t="s">
        <v>2026</v>
      </c>
      <c r="J22" s="20" t="s">
        <v>39</v>
      </c>
      <c r="K22" s="20" t="s">
        <v>2027</v>
      </c>
      <c r="L22" s="20" t="s">
        <v>39</v>
      </c>
      <c r="M22" s="20" t="s">
        <v>2028</v>
      </c>
      <c r="N22" s="20"/>
      <c r="O22" s="20"/>
      <c r="P22" s="20" t="s">
        <v>39</v>
      </c>
      <c r="Q22" s="20" t="s">
        <v>2029</v>
      </c>
      <c r="R22" s="20" t="s">
        <v>39</v>
      </c>
      <c r="S22" s="20" t="s">
        <v>2030</v>
      </c>
      <c r="T22" s="20"/>
      <c r="U22" s="20"/>
    </row>
    <row r="23" spans="1:21" ht="28.8" x14ac:dyDescent="0.3">
      <c r="A23" s="50"/>
      <c r="B23" s="25" t="s">
        <v>60</v>
      </c>
      <c r="C23" s="20"/>
      <c r="D23" s="20"/>
      <c r="E23" s="20"/>
      <c r="F23" s="20"/>
      <c r="G23" s="20"/>
      <c r="H23" s="20"/>
      <c r="I23" s="20"/>
      <c r="J23" s="20"/>
      <c r="K23" s="20"/>
      <c r="L23" s="20"/>
      <c r="M23" s="20"/>
      <c r="N23" s="20"/>
      <c r="O23" s="20"/>
      <c r="P23" s="20"/>
      <c r="Q23" s="20"/>
      <c r="R23" s="20"/>
      <c r="S23" s="20"/>
      <c r="T23" s="20"/>
      <c r="U23" s="20"/>
    </row>
    <row r="24" spans="1:21" x14ac:dyDescent="0.3">
      <c r="A24" s="50"/>
      <c r="B24" s="25" t="s">
        <v>61</v>
      </c>
      <c r="C24" s="20"/>
      <c r="D24" s="20"/>
      <c r="E24" s="20"/>
      <c r="F24" s="20"/>
      <c r="G24" s="20"/>
      <c r="H24" s="20"/>
      <c r="I24" s="20"/>
      <c r="J24" s="20"/>
      <c r="K24" s="20"/>
      <c r="L24" s="20"/>
      <c r="M24" s="20"/>
      <c r="N24" s="20"/>
      <c r="O24" s="20"/>
      <c r="P24" s="20"/>
      <c r="Q24" s="20"/>
      <c r="R24" s="20"/>
      <c r="S24" s="20"/>
      <c r="T24" s="20"/>
      <c r="U24" s="20"/>
    </row>
    <row r="25" spans="1:21" x14ac:dyDescent="0.3">
      <c r="A25" s="50"/>
      <c r="B25" s="25" t="s">
        <v>62</v>
      </c>
      <c r="C25" s="20"/>
      <c r="D25" s="20"/>
      <c r="E25" s="20"/>
      <c r="F25" s="20"/>
      <c r="G25" s="20"/>
      <c r="H25" s="20"/>
      <c r="I25" s="20"/>
      <c r="J25" s="20"/>
      <c r="K25" s="20"/>
      <c r="L25" s="20"/>
      <c r="M25" s="20"/>
      <c r="N25" s="20"/>
      <c r="O25" s="20"/>
      <c r="P25" s="20"/>
      <c r="Q25" s="20"/>
      <c r="R25" s="20"/>
      <c r="S25" s="20"/>
      <c r="T25" s="20"/>
      <c r="U25" s="20"/>
    </row>
    <row r="26" spans="1:21" ht="331.2" x14ac:dyDescent="0.3">
      <c r="A26" s="50"/>
      <c r="B26" s="25" t="s">
        <v>63</v>
      </c>
      <c r="C26" s="20" t="s">
        <v>1973</v>
      </c>
      <c r="D26" s="20" t="s">
        <v>39</v>
      </c>
      <c r="E26" s="20" t="s">
        <v>1974</v>
      </c>
      <c r="F26" s="20" t="s">
        <v>39</v>
      </c>
      <c r="G26" s="20" t="s">
        <v>1975</v>
      </c>
      <c r="H26" s="20" t="s">
        <v>39</v>
      </c>
      <c r="I26" s="20" t="s">
        <v>1976</v>
      </c>
      <c r="J26" s="20" t="s">
        <v>39</v>
      </c>
      <c r="K26" s="20" t="s">
        <v>1977</v>
      </c>
      <c r="L26" s="20" t="s">
        <v>39</v>
      </c>
      <c r="M26" s="20" t="s">
        <v>1978</v>
      </c>
      <c r="N26" s="20"/>
      <c r="O26" s="20"/>
      <c r="P26" s="20"/>
      <c r="Q26" s="20" t="s">
        <v>1979</v>
      </c>
      <c r="R26" s="20" t="s">
        <v>39</v>
      </c>
      <c r="S26" s="20" t="s">
        <v>1980</v>
      </c>
      <c r="T26" s="20"/>
      <c r="U26" s="20"/>
    </row>
    <row r="27" spans="1:21" ht="28.8" x14ac:dyDescent="0.3">
      <c r="A27" s="50"/>
      <c r="B27" s="25" t="s">
        <v>64</v>
      </c>
      <c r="C27" s="20"/>
      <c r="D27" s="20"/>
      <c r="E27" s="20"/>
      <c r="F27" s="20"/>
      <c r="G27" s="20"/>
      <c r="H27" s="20"/>
      <c r="I27" s="20"/>
      <c r="J27" s="20"/>
      <c r="K27" s="20"/>
      <c r="L27" s="20"/>
      <c r="M27" s="20"/>
      <c r="N27" s="20"/>
      <c r="O27" s="20"/>
      <c r="P27" s="20"/>
      <c r="Q27" s="20"/>
      <c r="R27" s="20"/>
      <c r="S27" s="20"/>
      <c r="T27" s="20"/>
      <c r="U27" s="20"/>
    </row>
    <row r="28" spans="1:21" x14ac:dyDescent="0.3">
      <c r="A28" s="50"/>
      <c r="B28" s="25" t="s">
        <v>65</v>
      </c>
      <c r="C28" s="20"/>
      <c r="D28" s="20"/>
      <c r="E28" s="20"/>
      <c r="F28" s="20"/>
      <c r="G28" s="20"/>
      <c r="H28" s="20"/>
      <c r="I28" s="20"/>
      <c r="J28" s="20"/>
      <c r="K28" s="20"/>
      <c r="L28" s="20"/>
      <c r="M28" s="20"/>
      <c r="N28" s="20"/>
      <c r="O28" s="20"/>
      <c r="P28" s="20"/>
      <c r="Q28" s="20"/>
      <c r="R28" s="20"/>
      <c r="S28" s="20"/>
      <c r="T28" s="20"/>
      <c r="U28" s="20"/>
    </row>
  </sheetData>
  <mergeCells count="1">
    <mergeCell ref="A1:A28"/>
  </mergeCells>
  <hyperlinks>
    <hyperlink ref="T3" r:id="rId1" xr:uid="{13C74F32-2C99-4650-8B4C-2E7BCDFD6C98}"/>
    <hyperlink ref="T4" r:id="rId2" xr:uid="{786A6D8C-F508-4DA6-B70D-65C1AA011C76}"/>
    <hyperlink ref="T5" r:id="rId3" xr:uid="{ACD7562A-961A-4353-8B4B-9D10E1C3DF02}"/>
    <hyperlink ref="T2" r:id="rId4" xr:uid="{D4AA338A-984B-4437-AE9C-EA91EDDC019E}"/>
    <hyperlink ref="T8" r:id="rId5" xr:uid="{20CAA549-1194-4E63-8095-9E8C7259682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52E97-5D89-40C2-8BAC-0D1628D45637}">
  <sheetPr>
    <tabColor theme="5" tint="0.59999389629810485"/>
  </sheetPr>
  <dimension ref="A1:V28"/>
  <sheetViews>
    <sheetView tabSelected="1" topLeftCell="A7" workbookViewId="0">
      <selection activeCell="O5" sqref="O5"/>
    </sheetView>
  </sheetViews>
  <sheetFormatPr defaultColWidth="9.109375" defaultRowHeight="14.4" x14ac:dyDescent="0.3"/>
  <cols>
    <col min="1" max="2" width="12.6640625" style="1" customWidth="1"/>
    <col min="3" max="3" width="12.6640625" style="16" customWidth="1"/>
    <col min="4" max="4" width="12.6640625" style="1" customWidth="1"/>
    <col min="5" max="5" width="12.6640625" style="18" customWidth="1"/>
    <col min="6" max="6" width="12.6640625" style="16" customWidth="1"/>
    <col min="7" max="7" width="12.6640625" style="1" customWidth="1"/>
    <col min="8" max="8" width="12.6640625" style="18" customWidth="1"/>
    <col min="9" max="9" width="12.6640625" style="16" customWidth="1"/>
    <col min="10" max="10" width="12.6640625" style="1" customWidth="1"/>
    <col min="11" max="11" width="12.6640625" style="18" customWidth="1"/>
    <col min="12" max="12" width="12.6640625" style="16" customWidth="1"/>
    <col min="13" max="13" width="12.6640625" style="1" customWidth="1"/>
    <col min="14" max="14" width="12.6640625" style="18" customWidth="1"/>
    <col min="15" max="15" width="38.33203125" style="16" customWidth="1"/>
    <col min="16" max="16" width="12.6640625" style="1" customWidth="1"/>
    <col min="17" max="17" width="12.6640625" style="18" customWidth="1"/>
    <col min="18" max="16384" width="9.109375" style="1"/>
  </cols>
  <sheetData>
    <row r="1" spans="1:22" ht="43.2" x14ac:dyDescent="0.3">
      <c r="A1" s="12" t="s">
        <v>21</v>
      </c>
      <c r="B1" s="31" t="s">
        <v>33</v>
      </c>
      <c r="C1" s="13" t="s">
        <v>1022</v>
      </c>
      <c r="D1" s="14" t="s">
        <v>947</v>
      </c>
      <c r="E1" s="15" t="s">
        <v>1777</v>
      </c>
      <c r="F1" s="13" t="s">
        <v>1778</v>
      </c>
      <c r="G1" s="14" t="s">
        <v>946</v>
      </c>
      <c r="H1" s="15" t="s">
        <v>947</v>
      </c>
      <c r="I1" s="13" t="s">
        <v>1779</v>
      </c>
      <c r="J1" s="14" t="s">
        <v>946</v>
      </c>
      <c r="K1" s="15" t="s">
        <v>947</v>
      </c>
      <c r="L1" s="13" t="s">
        <v>1780</v>
      </c>
      <c r="M1" s="14" t="s">
        <v>946</v>
      </c>
      <c r="N1" s="15" t="s">
        <v>947</v>
      </c>
      <c r="O1" s="13" t="s">
        <v>1781</v>
      </c>
      <c r="P1" s="14" t="s">
        <v>1782</v>
      </c>
      <c r="Q1" s="15" t="s">
        <v>887</v>
      </c>
      <c r="R1" s="26" t="s">
        <v>1783</v>
      </c>
      <c r="S1" s="27" t="s">
        <v>1784</v>
      </c>
      <c r="T1" s="28" t="s">
        <v>1785</v>
      </c>
      <c r="U1" s="29" t="s">
        <v>1786</v>
      </c>
      <c r="V1" s="30" t="s">
        <v>1787</v>
      </c>
    </row>
    <row r="2" spans="1:22" ht="72" x14ac:dyDescent="0.3">
      <c r="A2" s="1" t="s">
        <v>37</v>
      </c>
      <c r="B2" s="1" t="s">
        <v>39</v>
      </c>
      <c r="C2" s="16" t="s">
        <v>1788</v>
      </c>
      <c r="D2" s="11" t="s">
        <v>953</v>
      </c>
      <c r="F2" s="16" t="s">
        <v>1789</v>
      </c>
      <c r="G2" s="1" t="s">
        <v>987</v>
      </c>
      <c r="H2" s="17" t="s">
        <v>988</v>
      </c>
      <c r="I2" s="16" t="s">
        <v>1790</v>
      </c>
      <c r="J2" s="1" t="s">
        <v>981</v>
      </c>
      <c r="K2" s="17" t="s">
        <v>982</v>
      </c>
      <c r="L2" s="16" t="s">
        <v>1791</v>
      </c>
      <c r="M2" s="1" t="s">
        <v>1792</v>
      </c>
      <c r="N2" s="17" t="s">
        <v>1793</v>
      </c>
      <c r="P2" s="1" t="s">
        <v>1794</v>
      </c>
      <c r="R2" s="1">
        <v>5</v>
      </c>
      <c r="S2" s="1">
        <v>5</v>
      </c>
      <c r="T2" s="1">
        <v>5</v>
      </c>
      <c r="U2" s="1">
        <v>5</v>
      </c>
      <c r="V2" s="1">
        <v>5</v>
      </c>
    </row>
    <row r="3" spans="1:22" ht="57.6" x14ac:dyDescent="0.3">
      <c r="A3" s="1" t="s">
        <v>40</v>
      </c>
      <c r="C3" s="16" t="s">
        <v>1795</v>
      </c>
      <c r="D3" s="11" t="s">
        <v>997</v>
      </c>
      <c r="E3" s="18" t="s">
        <v>1796</v>
      </c>
      <c r="F3" s="16" t="s">
        <v>1797</v>
      </c>
      <c r="G3" s="1" t="s">
        <v>1017</v>
      </c>
      <c r="H3" s="17" t="s">
        <v>1018</v>
      </c>
      <c r="I3" s="16" t="s">
        <v>1798</v>
      </c>
      <c r="J3" s="1" t="s">
        <v>1017</v>
      </c>
      <c r="K3" s="17" t="s">
        <v>1799</v>
      </c>
      <c r="L3" s="16" t="s">
        <v>1800</v>
      </c>
      <c r="M3" s="1" t="s">
        <v>1002</v>
      </c>
      <c r="N3" s="17" t="s">
        <v>1003</v>
      </c>
    </row>
    <row r="4" spans="1:22" ht="72" x14ac:dyDescent="0.3">
      <c r="A4" s="1" t="s">
        <v>41</v>
      </c>
      <c r="C4" s="16" t="s">
        <v>1801</v>
      </c>
      <c r="D4" s="11" t="s">
        <v>1023</v>
      </c>
      <c r="E4" s="18" t="s">
        <v>1796</v>
      </c>
      <c r="F4" s="16" t="s">
        <v>1802</v>
      </c>
      <c r="G4" s="1" t="s">
        <v>1026</v>
      </c>
      <c r="H4" s="17" t="s">
        <v>1027</v>
      </c>
      <c r="I4" s="16" t="s">
        <v>1803</v>
      </c>
      <c r="J4" s="1" t="s">
        <v>1039</v>
      </c>
      <c r="K4" s="17" t="s">
        <v>1040</v>
      </c>
      <c r="L4" s="16" t="s">
        <v>1804</v>
      </c>
      <c r="M4" s="1" t="s">
        <v>1805</v>
      </c>
      <c r="N4" s="17" t="s">
        <v>1044</v>
      </c>
    </row>
    <row r="5" spans="1:22" ht="72" x14ac:dyDescent="0.3">
      <c r="A5" s="1" t="s">
        <v>42</v>
      </c>
      <c r="C5" s="16" t="s">
        <v>1806</v>
      </c>
      <c r="E5" s="18" t="s">
        <v>1807</v>
      </c>
      <c r="F5" s="16" t="s">
        <v>1808</v>
      </c>
      <c r="G5" s="1" t="s">
        <v>987</v>
      </c>
      <c r="H5" s="17" t="s">
        <v>1064</v>
      </c>
      <c r="I5" s="16" t="s">
        <v>1809</v>
      </c>
      <c r="J5" s="1" t="s">
        <v>1067</v>
      </c>
      <c r="K5" s="18" t="s">
        <v>1068</v>
      </c>
      <c r="L5" s="16" t="s">
        <v>1810</v>
      </c>
      <c r="M5" s="1" t="s">
        <v>1811</v>
      </c>
      <c r="N5" s="18" t="s">
        <v>1812</v>
      </c>
    </row>
    <row r="6" spans="1:22" ht="86.4" x14ac:dyDescent="0.3">
      <c r="A6" s="1" t="s">
        <v>43</v>
      </c>
      <c r="C6" s="16" t="s">
        <v>1813</v>
      </c>
      <c r="D6" s="9" t="s">
        <v>1077</v>
      </c>
      <c r="E6" s="18" t="s">
        <v>1814</v>
      </c>
      <c r="F6" s="16" t="s">
        <v>1815</v>
      </c>
      <c r="G6" s="1" t="s">
        <v>1816</v>
      </c>
      <c r="H6" s="18" t="s">
        <v>1817</v>
      </c>
      <c r="I6" s="16" t="s">
        <v>1818</v>
      </c>
      <c r="J6" s="1" t="s">
        <v>1819</v>
      </c>
      <c r="K6" s="18" t="s">
        <v>1820</v>
      </c>
      <c r="L6" s="16" t="s">
        <v>1821</v>
      </c>
      <c r="M6" s="1" t="s">
        <v>1089</v>
      </c>
      <c r="N6" s="18" t="s">
        <v>1090</v>
      </c>
    </row>
    <row r="7" spans="1:22" ht="115.2" x14ac:dyDescent="0.3">
      <c r="A7" s="1" t="s">
        <v>44</v>
      </c>
      <c r="B7" s="1" t="s">
        <v>39</v>
      </c>
      <c r="C7" s="16" t="s">
        <v>1822</v>
      </c>
      <c r="D7" s="9" t="s">
        <v>1109</v>
      </c>
      <c r="E7" s="18" t="s">
        <v>1796</v>
      </c>
      <c r="F7" s="16" t="s">
        <v>1823</v>
      </c>
      <c r="G7" s="1" t="s">
        <v>1122</v>
      </c>
      <c r="H7" s="18" t="s">
        <v>1123</v>
      </c>
      <c r="I7" s="16" t="s">
        <v>1824</v>
      </c>
      <c r="J7" s="1" t="s">
        <v>1141</v>
      </c>
      <c r="K7" s="18" t="s">
        <v>1142</v>
      </c>
      <c r="L7" s="16" t="s">
        <v>1825</v>
      </c>
      <c r="M7" s="1" t="s">
        <v>1146</v>
      </c>
      <c r="N7" s="18" t="s">
        <v>1147</v>
      </c>
    </row>
    <row r="8" spans="1:22" ht="43.2" x14ac:dyDescent="0.3">
      <c r="A8" s="1" t="s">
        <v>45</v>
      </c>
      <c r="B8" s="1" t="s">
        <v>39</v>
      </c>
      <c r="C8" s="16" t="s">
        <v>1826</v>
      </c>
      <c r="D8" s="9" t="s">
        <v>1827</v>
      </c>
      <c r="E8" s="18" t="s">
        <v>1828</v>
      </c>
      <c r="F8" s="16" t="s">
        <v>1829</v>
      </c>
      <c r="G8" s="1" t="s">
        <v>987</v>
      </c>
      <c r="H8" s="18" t="s">
        <v>1185</v>
      </c>
      <c r="I8" s="16" t="s">
        <v>1830</v>
      </c>
      <c r="J8" s="1" t="s">
        <v>1180</v>
      </c>
      <c r="K8" s="18" t="s">
        <v>1181</v>
      </c>
      <c r="L8" s="16" t="s">
        <v>1831</v>
      </c>
      <c r="M8" s="1" t="s">
        <v>1167</v>
      </c>
      <c r="N8" s="18" t="s">
        <v>1168</v>
      </c>
    </row>
    <row r="9" spans="1:22" ht="72" x14ac:dyDescent="0.3">
      <c r="A9" s="1" t="s">
        <v>46</v>
      </c>
      <c r="C9" s="16" t="s">
        <v>1832</v>
      </c>
      <c r="D9" s="1" t="s">
        <v>1232</v>
      </c>
      <c r="E9" s="18" t="s">
        <v>1796</v>
      </c>
      <c r="F9" s="16" t="s">
        <v>1833</v>
      </c>
      <c r="G9" s="1" t="s">
        <v>1834</v>
      </c>
      <c r="H9" s="18" t="s">
        <v>1835</v>
      </c>
      <c r="I9" s="16" t="s">
        <v>1836</v>
      </c>
      <c r="J9" s="1" t="s">
        <v>1067</v>
      </c>
      <c r="K9" s="18" t="s">
        <v>1239</v>
      </c>
      <c r="L9" s="16" t="s">
        <v>1837</v>
      </c>
      <c r="M9" s="1" t="s">
        <v>1146</v>
      </c>
      <c r="N9" s="18" t="s">
        <v>1225</v>
      </c>
    </row>
    <row r="10" spans="1:22" x14ac:dyDescent="0.3">
      <c r="A10" s="1" t="s">
        <v>47</v>
      </c>
    </row>
    <row r="11" spans="1:22" x14ac:dyDescent="0.3">
      <c r="A11" s="1" t="s">
        <v>48</v>
      </c>
      <c r="B11" s="1" t="s">
        <v>39</v>
      </c>
    </row>
    <row r="12" spans="1:22" x14ac:dyDescent="0.3">
      <c r="A12" s="1" t="s">
        <v>49</v>
      </c>
      <c r="B12" s="1" t="s">
        <v>39</v>
      </c>
    </row>
    <row r="13" spans="1:22" x14ac:dyDescent="0.3">
      <c r="A13" s="1" t="s">
        <v>50</v>
      </c>
    </row>
    <row r="14" spans="1:22" x14ac:dyDescent="0.3">
      <c r="A14" s="1" t="s">
        <v>51</v>
      </c>
    </row>
    <row r="15" spans="1:22" x14ac:dyDescent="0.3">
      <c r="A15" s="1" t="s">
        <v>52</v>
      </c>
      <c r="B15" s="1" t="s">
        <v>39</v>
      </c>
    </row>
    <row r="16" spans="1:22" ht="28.8" x14ac:dyDescent="0.3">
      <c r="A16" s="1" t="s">
        <v>53</v>
      </c>
    </row>
    <row r="17" spans="1:2" x14ac:dyDescent="0.3">
      <c r="A17" s="1" t="s">
        <v>54</v>
      </c>
    </row>
    <row r="18" spans="1:2" x14ac:dyDescent="0.3">
      <c r="A18" s="1" t="s">
        <v>55</v>
      </c>
    </row>
    <row r="19" spans="1:2" x14ac:dyDescent="0.3">
      <c r="A19" s="1" t="s">
        <v>56</v>
      </c>
    </row>
    <row r="20" spans="1:2" ht="43.2" x14ac:dyDescent="0.3">
      <c r="A20" s="1" t="s">
        <v>57</v>
      </c>
    </row>
    <row r="21" spans="1:2" x14ac:dyDescent="0.3">
      <c r="A21" s="1" t="s">
        <v>58</v>
      </c>
    </row>
    <row r="22" spans="1:2" x14ac:dyDescent="0.3">
      <c r="A22" s="1" t="s">
        <v>59</v>
      </c>
    </row>
    <row r="23" spans="1:2" x14ac:dyDescent="0.3">
      <c r="A23" s="1" t="s">
        <v>60</v>
      </c>
    </row>
    <row r="24" spans="1:2" x14ac:dyDescent="0.3">
      <c r="A24" s="1" t="s">
        <v>61</v>
      </c>
    </row>
    <row r="25" spans="1:2" x14ac:dyDescent="0.3">
      <c r="A25" s="1" t="s">
        <v>62</v>
      </c>
    </row>
    <row r="26" spans="1:2" x14ac:dyDescent="0.3">
      <c r="A26" s="1" t="s">
        <v>63</v>
      </c>
      <c r="B26" s="1" t="s">
        <v>39</v>
      </c>
    </row>
    <row r="27" spans="1:2" ht="28.8" x14ac:dyDescent="0.3">
      <c r="A27" s="1" t="s">
        <v>64</v>
      </c>
    </row>
    <row r="28" spans="1:2" x14ac:dyDescent="0.3">
      <c r="A28" s="1" t="s">
        <v>65</v>
      </c>
    </row>
  </sheetData>
  <hyperlinks>
    <hyperlink ref="D2" r:id="rId1" xr:uid="{13A92E26-18DC-4B89-8F9F-A184FCA41B33}"/>
    <hyperlink ref="H2" r:id="rId2" xr:uid="{1F90F659-91CC-417B-8053-259EF6133E81}"/>
    <hyperlink ref="K2" r:id="rId3" xr:uid="{BEC7156F-2E28-4E34-B15F-6243F2A2A510}"/>
    <hyperlink ref="K3" r:id="rId4" xr:uid="{F9178857-9386-41FC-83EF-1E5754D5CDAF}"/>
    <hyperlink ref="H3" r:id="rId5" xr:uid="{3F639BD4-C45B-4E6F-86E6-DF700DDB5737}"/>
    <hyperlink ref="N3" r:id="rId6" xr:uid="{16EA6FF6-8EBD-4D03-B863-9F95070E8088}"/>
    <hyperlink ref="D3" r:id="rId7" xr:uid="{005EFD9A-AC6B-4BC1-87FA-455B47CEA48D}"/>
    <hyperlink ref="N2" r:id="rId8" xr:uid="{AE8EC515-E3CB-456A-9B16-B823793FA336}"/>
    <hyperlink ref="N4" r:id="rId9" xr:uid="{2AF4E740-56EA-41FC-9C31-481FD126FE19}"/>
    <hyperlink ref="K4" r:id="rId10" xr:uid="{930D4557-3C9C-44A7-A7A0-B8CB8370F324}"/>
    <hyperlink ref="H4" r:id="rId11" xr:uid="{4E391F36-EB1F-4454-B503-90778AFBE43F}"/>
    <hyperlink ref="D4" r:id="rId12" xr:uid="{F86F903F-B0D3-4E7E-937F-EFB6E3A17888}"/>
    <hyperlink ref="H5" r:id="rId13" xr:uid="{B9CD3AEC-AADB-4ACC-9A89-09051AB5A979}"/>
    <hyperlink ref="D8" r:id="rId14" xr:uid="{0E57BD58-C660-4BEB-9B3B-0ACC44FB7151}"/>
    <hyperlink ref="D7" r:id="rId15" xr:uid="{F188BDA6-9487-4B6E-BEFD-C1B8C770AB7A}"/>
    <hyperlink ref="D6" r:id="rId16" xr:uid="{884DC112-E587-47EE-8CF2-73AB46EE735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Purpose &amp; Methodology</vt:lpstr>
      <vt:lpstr>Master Scorecard</vt:lpstr>
      <vt:lpstr>CSI</vt:lpstr>
      <vt:lpstr>TSI</vt:lpstr>
      <vt:lpstr>Basic District Info</vt:lpstr>
      <vt:lpstr>District Contacts</vt:lpstr>
      <vt:lpstr>Strategic Indicators</vt:lpstr>
      <vt:lpstr>Leadership and Governance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Davidson, Chy</cp:lastModifiedBy>
  <cp:revision/>
  <dcterms:created xsi:type="dcterms:W3CDTF">2026-05-14T13:33:11Z</dcterms:created>
  <dcterms:modified xsi:type="dcterms:W3CDTF">2026-06-16T02:09:46Z</dcterms:modified>
  <cp:category/>
  <cp:contentStatus/>
</cp:coreProperties>
</file>